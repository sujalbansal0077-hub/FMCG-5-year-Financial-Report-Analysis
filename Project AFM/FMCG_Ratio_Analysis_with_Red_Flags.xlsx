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b442cad2c1d2c606/Documents/Desktop/PGDM-Fm/AFM/"/>
    </mc:Choice>
  </mc:AlternateContent>
  <xr:revisionPtr revIDLastSave="0" documentId="13_ncr:1_{6A153984-3ECC-40DE-8707-1379CE26033A}" xr6:coauthVersionLast="47" xr6:coauthVersionMax="47" xr10:uidLastSave="{00000000-0000-0000-0000-000000000000}"/>
  <bookViews>
    <workbookView xWindow="-108" yWindow="-108" windowWidth="23256" windowHeight="12456" tabRatio="500" firstSheet="3" activeTab="7" xr2:uid="{00000000-000D-0000-FFFF-FFFF00000000}"/>
  </bookViews>
  <sheets>
    <sheet name="Income Statement" sheetId="1" r:id="rId1"/>
    <sheet name="Balance Sheet" sheetId="2" r:id="rId2"/>
    <sheet name="Cash Flow" sheetId="3" r:id="rId3"/>
    <sheet name="Ratio Comparison" sheetId="4" r:id="rId4"/>
    <sheet name="Pivot Tables" sheetId="5" r:id="rId5"/>
    <sheet name="Charts" sheetId="6" r:id="rId6"/>
    <sheet name="Pivot" sheetId="7" r:id="rId7"/>
    <sheet name="Dashboard" sheetId="8" r:id="rId8"/>
    <sheet name="Red Flags" sheetId="9" r:id="rId9"/>
  </sheets>
  <definedNames>
    <definedName name="_xlnm._FilterDatabase" localSheetId="8" hidden="1">'Red Flags'!$A$10:$I$43</definedName>
  </definedNames>
  <calcPr calcId="191029" iterateDelta="1E-4" calcCompleted="0" forceFullCalc="1"/>
  <pivotCaches>
    <pivotCache cacheId="0" r:id="rId10"/>
    <pivotCache cacheId="1" r:id="rId11"/>
    <pivotCache cacheId="2" r:id="rId12"/>
    <pivotCache cacheId="3" r:id="rId13"/>
    <pivotCache cacheId="4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3" i="9" l="1"/>
  <c r="D52" i="9"/>
  <c r="D51" i="9"/>
  <c r="F67" i="4"/>
  <c r="H59" i="9" s="1"/>
  <c r="E67" i="4"/>
  <c r="G59" i="9" s="1"/>
  <c r="D67" i="4"/>
  <c r="F59" i="9" s="1"/>
  <c r="C67" i="4"/>
  <c r="E59" i="9" s="1"/>
  <c r="B67" i="4"/>
  <c r="D165" i="5" s="1"/>
  <c r="F66" i="4"/>
  <c r="H58" i="9" s="1"/>
  <c r="E66" i="4"/>
  <c r="D42" i="9" s="1"/>
  <c r="D66" i="4"/>
  <c r="F58" i="9" s="1"/>
  <c r="C66" i="4"/>
  <c r="E58" i="9" s="1"/>
  <c r="B66" i="4"/>
  <c r="D58" i="9" s="1"/>
  <c r="F65" i="4"/>
  <c r="H57" i="9" s="1"/>
  <c r="E65" i="4"/>
  <c r="G57" i="9" s="1"/>
  <c r="D65" i="4"/>
  <c r="F57" i="9" s="1"/>
  <c r="C65" i="4"/>
  <c r="E57" i="9" s="1"/>
  <c r="B65" i="4"/>
  <c r="D57" i="9" s="1"/>
  <c r="F61" i="4"/>
  <c r="C40" i="9" s="1"/>
  <c r="E61" i="4"/>
  <c r="D40" i="9" s="1"/>
  <c r="D61" i="4"/>
  <c r="D152" i="5" s="1"/>
  <c r="C61" i="4"/>
  <c r="D151" i="5" s="1"/>
  <c r="B61" i="4"/>
  <c r="D150" i="5" s="1"/>
  <c r="F60" i="4"/>
  <c r="C39" i="9" s="1"/>
  <c r="E60" i="4"/>
  <c r="D39" i="9" s="1"/>
  <c r="D60" i="4"/>
  <c r="D147" i="5" s="1"/>
  <c r="C60" i="4"/>
  <c r="D146" i="5" s="1"/>
  <c r="B60" i="4"/>
  <c r="D145" i="5" s="1"/>
  <c r="F59" i="4"/>
  <c r="D144" i="5" s="1"/>
  <c r="E59" i="4"/>
  <c r="D143" i="5" s="1"/>
  <c r="D59" i="4"/>
  <c r="D142" i="5" s="1"/>
  <c r="C59" i="4"/>
  <c r="D141" i="5" s="1"/>
  <c r="B59" i="4"/>
  <c r="D140" i="5" s="1"/>
  <c r="F55" i="4"/>
  <c r="C37" i="9" s="1"/>
  <c r="E55" i="4"/>
  <c r="D37" i="9" s="1"/>
  <c r="D55" i="4"/>
  <c r="F50" i="9" s="1"/>
  <c r="C55" i="4"/>
  <c r="E50" i="9" s="1"/>
  <c r="B55" i="4"/>
  <c r="D50" i="9" s="1"/>
  <c r="F54" i="4"/>
  <c r="H49" i="9" s="1"/>
  <c r="E54" i="4"/>
  <c r="G49" i="9" s="1"/>
  <c r="D54" i="4"/>
  <c r="F49" i="9" s="1"/>
  <c r="C54" i="4"/>
  <c r="E49" i="9" s="1"/>
  <c r="B54" i="4"/>
  <c r="D49" i="9" s="1"/>
  <c r="F53" i="4"/>
  <c r="D129" i="5" s="1"/>
  <c r="E53" i="4"/>
  <c r="G48" i="9" s="1"/>
  <c r="D53" i="4"/>
  <c r="D127" i="5" s="1"/>
  <c r="C53" i="4"/>
  <c r="E48" i="9" s="1"/>
  <c r="B53" i="4"/>
  <c r="D48" i="9" s="1"/>
  <c r="F49" i="4"/>
  <c r="C34" i="9" s="1"/>
  <c r="E49" i="4"/>
  <c r="D34" i="9" s="1"/>
  <c r="D49" i="4"/>
  <c r="D122" i="5" s="1"/>
  <c r="C49" i="4"/>
  <c r="E56" i="9" s="1"/>
  <c r="B49" i="4"/>
  <c r="D120" i="5" s="1"/>
  <c r="F48" i="4"/>
  <c r="H55" i="9" s="1"/>
  <c r="E48" i="4"/>
  <c r="G55" i="9" s="1"/>
  <c r="D48" i="4"/>
  <c r="F55" i="9" s="1"/>
  <c r="C48" i="4"/>
  <c r="E55" i="9" s="1"/>
  <c r="B48" i="4"/>
  <c r="D55" i="9" s="1"/>
  <c r="F47" i="4"/>
  <c r="H54" i="9" s="1"/>
  <c r="E47" i="4"/>
  <c r="G54" i="9" s="1"/>
  <c r="D47" i="4"/>
  <c r="F54" i="9" s="1"/>
  <c r="C47" i="4"/>
  <c r="E54" i="9" s="1"/>
  <c r="B47" i="4"/>
  <c r="D110" i="5" s="1"/>
  <c r="F43" i="4"/>
  <c r="C28" i="9" s="1"/>
  <c r="E43" i="4"/>
  <c r="D28" i="9" s="1"/>
  <c r="D43" i="4"/>
  <c r="D107" i="5" s="1"/>
  <c r="C43" i="4"/>
  <c r="D106" i="5" s="1"/>
  <c r="B43" i="4"/>
  <c r="D105" i="5" s="1"/>
  <c r="F42" i="4"/>
  <c r="C27" i="9" s="1"/>
  <c r="E42" i="4"/>
  <c r="D27" i="9" s="1"/>
  <c r="D42" i="4"/>
  <c r="D102" i="5" s="1"/>
  <c r="C42" i="4"/>
  <c r="D101" i="5" s="1"/>
  <c r="B42" i="4"/>
  <c r="D100" i="5" s="1"/>
  <c r="F41" i="4"/>
  <c r="C26" i="9" s="1"/>
  <c r="E41" i="4"/>
  <c r="D98" i="5" s="1"/>
  <c r="D41" i="4"/>
  <c r="D97" i="5" s="1"/>
  <c r="C41" i="4"/>
  <c r="D96" i="5" s="1"/>
  <c r="B41" i="4"/>
  <c r="D95" i="5" s="1"/>
  <c r="F37" i="4"/>
  <c r="C25" i="9" s="1"/>
  <c r="E37" i="4"/>
  <c r="D25" i="9" s="1"/>
  <c r="D37" i="4"/>
  <c r="D92" i="5" s="1"/>
  <c r="D207" i="5" s="1"/>
  <c r="C37" i="4"/>
  <c r="D91" i="5" s="1"/>
  <c r="B37" i="4"/>
  <c r="D90" i="5" s="1"/>
  <c r="D205" i="5" s="1"/>
  <c r="F36" i="4"/>
  <c r="C24" i="9" s="1"/>
  <c r="E36" i="4"/>
  <c r="D24" i="9" s="1"/>
  <c r="D36" i="4"/>
  <c r="D87" i="5" s="1"/>
  <c r="C207" i="5" s="1"/>
  <c r="C36" i="4"/>
  <c r="D86" i="5" s="1"/>
  <c r="C206" i="5" s="1"/>
  <c r="B36" i="4"/>
  <c r="D85" i="5" s="1"/>
  <c r="C205" i="5" s="1"/>
  <c r="F35" i="4"/>
  <c r="D84" i="5" s="1"/>
  <c r="B209" i="5" s="1"/>
  <c r="E35" i="4"/>
  <c r="D83" i="5" s="1"/>
  <c r="B208" i="5" s="1"/>
  <c r="D35" i="4"/>
  <c r="D82" i="5" s="1"/>
  <c r="B207" i="5" s="1"/>
  <c r="C35" i="4"/>
  <c r="D81" i="5" s="1"/>
  <c r="B206" i="5" s="1"/>
  <c r="B35" i="4"/>
  <c r="D80" i="5" s="1"/>
  <c r="B205" i="5" s="1"/>
  <c r="F31" i="4"/>
  <c r="C22" i="9" s="1"/>
  <c r="E31" i="4"/>
  <c r="D22" i="9" s="1"/>
  <c r="D31" i="4"/>
  <c r="D77" i="5" s="1"/>
  <c r="D198" i="5" s="1"/>
  <c r="C31" i="4"/>
  <c r="D76" i="5" s="1"/>
  <c r="D197" i="5" s="1"/>
  <c r="B31" i="4"/>
  <c r="D75" i="5" s="1"/>
  <c r="D196" i="5" s="1"/>
  <c r="F30" i="4"/>
  <c r="D74" i="5" s="1"/>
  <c r="C200" i="5" s="1"/>
  <c r="E30" i="4"/>
  <c r="D21" i="9" s="1"/>
  <c r="D30" i="4"/>
  <c r="D72" i="5" s="1"/>
  <c r="C198" i="5" s="1"/>
  <c r="C30" i="4"/>
  <c r="D71" i="5" s="1"/>
  <c r="C197" i="5" s="1"/>
  <c r="B30" i="4"/>
  <c r="D70" i="5" s="1"/>
  <c r="F29" i="4"/>
  <c r="D69" i="5" s="1"/>
  <c r="B200" i="5" s="1"/>
  <c r="E29" i="4"/>
  <c r="D20" i="9" s="1"/>
  <c r="D29" i="4"/>
  <c r="D67" i="5" s="1"/>
  <c r="B198" i="5" s="1"/>
  <c r="C29" i="4"/>
  <c r="D66" i="5" s="1"/>
  <c r="B197" i="5" s="1"/>
  <c r="B29" i="4"/>
  <c r="D65" i="5" s="1"/>
  <c r="F25" i="4"/>
  <c r="C19" i="9" s="1"/>
  <c r="E25" i="4"/>
  <c r="D19" i="9" s="1"/>
  <c r="D25" i="4"/>
  <c r="D62" i="5" s="1"/>
  <c r="C25" i="4"/>
  <c r="D61" i="5" s="1"/>
  <c r="B25" i="4"/>
  <c r="D60" i="5" s="1"/>
  <c r="F24" i="4"/>
  <c r="D59" i="5" s="1"/>
  <c r="E24" i="4"/>
  <c r="D18" i="9" s="1"/>
  <c r="D24" i="4"/>
  <c r="D57" i="5" s="1"/>
  <c r="C24" i="4"/>
  <c r="D56" i="5" s="1"/>
  <c r="B24" i="4"/>
  <c r="D55" i="5" s="1"/>
  <c r="F23" i="4"/>
  <c r="C17" i="9" s="1"/>
  <c r="E23" i="4"/>
  <c r="D17" i="9" s="1"/>
  <c r="D23" i="4"/>
  <c r="D52" i="5" s="1"/>
  <c r="C23" i="4"/>
  <c r="D51" i="5" s="1"/>
  <c r="B23" i="4"/>
  <c r="D50" i="5" s="1"/>
  <c r="F19" i="4"/>
  <c r="C16" i="9" s="1"/>
  <c r="E19" i="4"/>
  <c r="D16" i="9" s="1"/>
  <c r="D19" i="4"/>
  <c r="D47" i="5" s="1"/>
  <c r="D216" i="5" s="1"/>
  <c r="C19" i="4"/>
  <c r="D46" i="5" s="1"/>
  <c r="D215" i="5" s="1"/>
  <c r="B19" i="4"/>
  <c r="D45" i="5" s="1"/>
  <c r="F18" i="4"/>
  <c r="C15" i="9" s="1"/>
  <c r="E18" i="4"/>
  <c r="D15" i="9" s="1"/>
  <c r="D18" i="4"/>
  <c r="D42" i="5" s="1"/>
  <c r="C216" i="5" s="1"/>
  <c r="C18" i="4"/>
  <c r="D41" i="5" s="1"/>
  <c r="C215" i="5" s="1"/>
  <c r="B18" i="4"/>
  <c r="D40" i="5" s="1"/>
  <c r="F17" i="4"/>
  <c r="C14" i="9" s="1"/>
  <c r="E17" i="4"/>
  <c r="D38" i="5" s="1"/>
  <c r="B217" i="5" s="1"/>
  <c r="D17" i="4"/>
  <c r="D37" i="5" s="1"/>
  <c r="B216" i="5" s="1"/>
  <c r="C17" i="4"/>
  <c r="D36" i="5" s="1"/>
  <c r="B215" i="5" s="1"/>
  <c r="B17" i="4"/>
  <c r="D35" i="5" s="1"/>
  <c r="F13" i="4"/>
  <c r="H53" i="9" s="1"/>
  <c r="E13" i="4"/>
  <c r="G53" i="9" s="1"/>
  <c r="D13" i="4"/>
  <c r="F53" i="9" s="1"/>
  <c r="C13" i="4"/>
  <c r="E53" i="9" s="1"/>
  <c r="F12" i="4"/>
  <c r="H52" i="9" s="1"/>
  <c r="E12" i="4"/>
  <c r="D12" i="9" s="1"/>
  <c r="D12" i="4"/>
  <c r="F52" i="9" s="1"/>
  <c r="C12" i="4"/>
  <c r="E52" i="9" s="1"/>
  <c r="F11" i="4"/>
  <c r="H51" i="9" s="1"/>
  <c r="E11" i="4"/>
  <c r="G51" i="9" s="1"/>
  <c r="D11" i="4"/>
  <c r="F51" i="9" s="1"/>
  <c r="C11" i="4"/>
  <c r="E51" i="9" s="1"/>
  <c r="F7" i="4"/>
  <c r="D19" i="5" s="1"/>
  <c r="D191" i="5" s="1"/>
  <c r="E7" i="4"/>
  <c r="D18" i="5" s="1"/>
  <c r="D190" i="5" s="1"/>
  <c r="D7" i="4"/>
  <c r="D17" i="5" s="1"/>
  <c r="D189" i="5" s="1"/>
  <c r="C7" i="4"/>
  <c r="D16" i="5" s="1"/>
  <c r="D188" i="5" s="1"/>
  <c r="B7" i="4"/>
  <c r="D15" i="5" s="1"/>
  <c r="D187" i="5" s="1"/>
  <c r="F6" i="4"/>
  <c r="D14" i="5" s="1"/>
  <c r="C191" i="5" s="1"/>
  <c r="E6" i="4"/>
  <c r="D13" i="5" s="1"/>
  <c r="C190" i="5" s="1"/>
  <c r="D6" i="4"/>
  <c r="D12" i="5" s="1"/>
  <c r="C189" i="5" s="1"/>
  <c r="C6" i="4"/>
  <c r="D11" i="5" s="1"/>
  <c r="C188" i="5" s="1"/>
  <c r="B6" i="4"/>
  <c r="D10" i="5" s="1"/>
  <c r="C187" i="5" s="1"/>
  <c r="F5" i="4"/>
  <c r="D9" i="5" s="1"/>
  <c r="B191" i="5" s="1"/>
  <c r="E5" i="4"/>
  <c r="D8" i="5" s="1"/>
  <c r="B190" i="5" s="1"/>
  <c r="D5" i="4"/>
  <c r="D7" i="5" s="1"/>
  <c r="B189" i="5" s="1"/>
  <c r="C5" i="4"/>
  <c r="D6" i="5" s="1"/>
  <c r="B188" i="5" s="1"/>
  <c r="B5" i="4"/>
  <c r="D5" i="5" s="1"/>
  <c r="B187" i="5" s="1"/>
  <c r="E39" i="9" l="1"/>
  <c r="H39" i="9" s="1"/>
  <c r="D73" i="5"/>
  <c r="C199" i="5" s="1"/>
  <c r="D124" i="5"/>
  <c r="D125" i="5"/>
  <c r="D126" i="5"/>
  <c r="D149" i="5"/>
  <c r="D26" i="5"/>
  <c r="D27" i="5"/>
  <c r="D78" i="5"/>
  <c r="D199" i="5" s="1"/>
  <c r="D28" i="5"/>
  <c r="D148" i="5"/>
  <c r="D23" i="5"/>
  <c r="D29" i="5"/>
  <c r="D99" i="5"/>
  <c r="B178" i="5" s="1"/>
  <c r="D49" i="5"/>
  <c r="D218" i="5" s="1"/>
  <c r="D169" i="5"/>
  <c r="D53" i="5"/>
  <c r="D121" i="5"/>
  <c r="D54" i="5"/>
  <c r="D123" i="5"/>
  <c r="D44" i="5"/>
  <c r="C218" i="5" s="1"/>
  <c r="D164" i="5"/>
  <c r="D68" i="5"/>
  <c r="B199" i="5" s="1"/>
  <c r="D116" i="5"/>
  <c r="D32" i="5"/>
  <c r="D104" i="5"/>
  <c r="D128" i="5"/>
  <c r="D109" i="5"/>
  <c r="D133" i="5"/>
  <c r="D157" i="5"/>
  <c r="D39" i="5"/>
  <c r="B218" i="5" s="1"/>
  <c r="D63" i="5"/>
  <c r="D111" i="5"/>
  <c r="D135" i="5"/>
  <c r="D159" i="5"/>
  <c r="D64" i="5"/>
  <c r="D88" i="5"/>
  <c r="C208" i="5" s="1"/>
  <c r="D112" i="5"/>
  <c r="D136" i="5"/>
  <c r="D160" i="5"/>
  <c r="D89" i="5"/>
  <c r="C209" i="5" s="1"/>
  <c r="D113" i="5"/>
  <c r="D137" i="5"/>
  <c r="D161" i="5"/>
  <c r="D114" i="5"/>
  <c r="D138" i="5"/>
  <c r="D162" i="5"/>
  <c r="H25" i="9"/>
  <c r="E25" i="9"/>
  <c r="H24" i="9"/>
  <c r="E24" i="9"/>
  <c r="E17" i="9"/>
  <c r="H17" i="9" s="1"/>
  <c r="C196" i="5"/>
  <c r="C176" i="5"/>
  <c r="E16" i="9"/>
  <c r="H16" i="9" s="1"/>
  <c r="E28" i="9"/>
  <c r="H28" i="9" s="1"/>
  <c r="I57" i="9"/>
  <c r="E19" i="9"/>
  <c r="H19" i="9" s="1"/>
  <c r="E34" i="9"/>
  <c r="H34" i="9" s="1"/>
  <c r="E22" i="9"/>
  <c r="H22" i="9" s="1"/>
  <c r="D206" i="5"/>
  <c r="H37" i="9"/>
  <c r="E37" i="9"/>
  <c r="D214" i="5"/>
  <c r="C214" i="5"/>
  <c r="B214" i="5"/>
  <c r="B174" i="5"/>
  <c r="I53" i="9"/>
  <c r="E15" i="9"/>
  <c r="H15" i="9" s="1"/>
  <c r="E27" i="9"/>
  <c r="H27" i="9" s="1"/>
  <c r="B181" i="5"/>
  <c r="I51" i="9"/>
  <c r="I49" i="9"/>
  <c r="I55" i="9"/>
  <c r="E40" i="9"/>
  <c r="H40" i="9" s="1"/>
  <c r="C11" i="9"/>
  <c r="C20" i="9"/>
  <c r="E20" i="9" s="1"/>
  <c r="H20" i="9" s="1"/>
  <c r="C23" i="9"/>
  <c r="C29" i="9"/>
  <c r="C32" i="9"/>
  <c r="C35" i="9"/>
  <c r="C38" i="9"/>
  <c r="C41" i="9"/>
  <c r="D54" i="9"/>
  <c r="I54" i="9" s="1"/>
  <c r="D56" i="9"/>
  <c r="D11" i="9"/>
  <c r="D14" i="9"/>
  <c r="E14" i="9" s="1"/>
  <c r="H14" i="9" s="1"/>
  <c r="D23" i="9"/>
  <c r="D26" i="9"/>
  <c r="E26" i="9" s="1"/>
  <c r="H26" i="9" s="1"/>
  <c r="D29" i="9"/>
  <c r="D32" i="9"/>
  <c r="D35" i="9"/>
  <c r="D38" i="9"/>
  <c r="D41" i="9"/>
  <c r="F48" i="9"/>
  <c r="F56" i="9"/>
  <c r="G50" i="9"/>
  <c r="G52" i="9"/>
  <c r="I52" i="9" s="1"/>
  <c r="G56" i="9"/>
  <c r="G58" i="9"/>
  <c r="I58" i="9" s="1"/>
  <c r="C12" i="9"/>
  <c r="C18" i="9"/>
  <c r="E18" i="9" s="1"/>
  <c r="H18" i="9" s="1"/>
  <c r="C21" i="9"/>
  <c r="E21" i="9" s="1"/>
  <c r="H21" i="9" s="1"/>
  <c r="C30" i="9"/>
  <c r="C33" i="9"/>
  <c r="C36" i="9"/>
  <c r="C42" i="9"/>
  <c r="H48" i="9"/>
  <c r="H50" i="9"/>
  <c r="H56" i="9"/>
  <c r="D31" i="5"/>
  <c r="D43" i="5"/>
  <c r="D79" i="5"/>
  <c r="D200" i="5" s="1"/>
  <c r="D103" i="5"/>
  <c r="D115" i="5"/>
  <c r="D139" i="5"/>
  <c r="D163" i="5"/>
  <c r="D34" i="5"/>
  <c r="D58" i="5"/>
  <c r="C175" i="5" s="1"/>
  <c r="D94" i="5"/>
  <c r="D209" i="5" s="1"/>
  <c r="D118" i="5"/>
  <c r="D130" i="5"/>
  <c r="D154" i="5"/>
  <c r="D166" i="5"/>
  <c r="D30" i="9"/>
  <c r="D33" i="9"/>
  <c r="D36" i="9"/>
  <c r="B196" i="5"/>
  <c r="D33" i="5"/>
  <c r="D21" i="5"/>
  <c r="D119" i="5"/>
  <c r="D131" i="5"/>
  <c r="D155" i="5"/>
  <c r="D167" i="5"/>
  <c r="B177" i="5"/>
  <c r="D59" i="9"/>
  <c r="I59" i="9" s="1"/>
  <c r="D93" i="5"/>
  <c r="D208" i="5" s="1"/>
  <c r="D117" i="5"/>
  <c r="D153" i="5"/>
  <c r="D181" i="5" s="1"/>
  <c r="D22" i="5"/>
  <c r="D48" i="5"/>
  <c r="D217" i="5" s="1"/>
  <c r="D108" i="5"/>
  <c r="D132" i="5"/>
  <c r="D156" i="5"/>
  <c r="D168" i="5"/>
  <c r="C13" i="9"/>
  <c r="C31" i="9"/>
  <c r="C43" i="9"/>
  <c r="D24" i="5"/>
  <c r="D134" i="5"/>
  <c r="D158" i="5"/>
  <c r="D13" i="9"/>
  <c r="D31" i="9"/>
  <c r="D43" i="9"/>
  <c r="C181" i="5" l="1"/>
  <c r="E32" i="9"/>
  <c r="H32" i="9" s="1"/>
  <c r="E33" i="9"/>
  <c r="H33" i="9" s="1"/>
  <c r="B180" i="5"/>
  <c r="C182" i="5"/>
  <c r="D180" i="5"/>
  <c r="D176" i="5"/>
  <c r="D179" i="5"/>
  <c r="B175" i="5"/>
  <c r="B179" i="5"/>
  <c r="D175" i="5"/>
  <c r="B176" i="5"/>
  <c r="D182" i="5"/>
  <c r="E38" i="9"/>
  <c r="H38" i="9" s="1"/>
  <c r="C178" i="5"/>
  <c r="C177" i="5"/>
  <c r="I50" i="9"/>
  <c r="D178" i="5"/>
  <c r="H31" i="9"/>
  <c r="E31" i="9"/>
  <c r="H12" i="9"/>
  <c r="E12" i="9"/>
  <c r="C174" i="5"/>
  <c r="C217" i="5"/>
  <c r="H11" i="9"/>
  <c r="E11" i="9"/>
  <c r="C180" i="5"/>
  <c r="I56" i="9"/>
  <c r="H42" i="9"/>
  <c r="E42" i="9"/>
  <c r="I48" i="9"/>
  <c r="H41" i="9"/>
  <c r="E41" i="9"/>
  <c r="H35" i="9"/>
  <c r="E35" i="9"/>
  <c r="H43" i="9"/>
  <c r="E43" i="9"/>
  <c r="H23" i="9"/>
  <c r="E23" i="9"/>
  <c r="H13" i="9"/>
  <c r="E13" i="9"/>
  <c r="D177" i="5"/>
  <c r="B182" i="5"/>
  <c r="H36" i="9"/>
  <c r="E36" i="9"/>
  <c r="D174" i="5"/>
  <c r="H30" i="9"/>
  <c r="E30" i="9"/>
  <c r="C179" i="5"/>
  <c r="H29" i="9"/>
  <c r="E29" i="9"/>
  <c r="D6" i="9" l="1"/>
  <c r="C6" i="9"/>
  <c r="B6" i="9"/>
  <c r="D8" i="9"/>
  <c r="C8" i="9"/>
  <c r="B8" i="9"/>
  <c r="E8" i="9" s="1"/>
  <c r="D7" i="9"/>
  <c r="C7" i="9"/>
  <c r="B7" i="9"/>
  <c r="E7" i="9" l="1"/>
  <c r="E6" i="9"/>
</calcChain>
</file>

<file path=xl/sharedStrings.xml><?xml version="1.0" encoding="utf-8"?>
<sst xmlns="http://schemas.openxmlformats.org/spreadsheetml/2006/main" count="1105" uniqueCount="179">
  <si>
    <t>FINANCIAL DASHBORD OF FMCG INDUSTRIES</t>
  </si>
  <si>
    <t>Indian FMCG Sector — Income Statement</t>
  </si>
  <si>
    <t>Hindustan Unilever Ltd. (Consolidated)</t>
  </si>
  <si>
    <t>Particulars (₹ Crore)</t>
  </si>
  <si>
    <t>FY2022</t>
  </si>
  <si>
    <t>FY2023</t>
  </si>
  <si>
    <t>FY2024</t>
  </si>
  <si>
    <t>FY2025</t>
  </si>
  <si>
    <t>FY2026</t>
  </si>
  <si>
    <t>Revenue</t>
  </si>
  <si>
    <t>Cost of Revenue</t>
  </si>
  <si>
    <t>Gross Profit</t>
  </si>
  <si>
    <t>Selling, General &amp; Admin</t>
  </si>
  <si>
    <t>Other Operating Expenses</t>
  </si>
  <si>
    <t>Operating Income (EBIT)</t>
  </si>
  <si>
    <t>Interest Expense</t>
  </si>
  <si>
    <t>Interest &amp; Investment Income</t>
  </si>
  <si>
    <t>Other Non-Operating Income/(Expense)</t>
  </si>
  <si>
    <t>Pretax Income</t>
  </si>
  <si>
    <t>Income Tax Expense</t>
  </si>
  <si>
    <t>Net Income</t>
  </si>
  <si>
    <t>EBITDA</t>
  </si>
  <si>
    <t>EPS - Diluted (₹)</t>
  </si>
  <si>
    <t>Britannia Industries Ltd. (Consolidated)</t>
  </si>
  <si>
    <t>Gross Profit (Operating Profit excl. Other Income)</t>
  </si>
  <si>
    <t>Interest &amp; Other Income</t>
  </si>
  <si>
    <t>Depreciation &amp; Amortization</t>
  </si>
  <si>
    <t>Pretax Income (recurring)</t>
  </si>
  <si>
    <t>Nestlé India Ltd.</t>
  </si>
  <si>
    <t>Operating Profit (excl. Other Income)</t>
  </si>
  <si>
    <t>Other Income</t>
  </si>
  <si>
    <t>n/a*</t>
  </si>
  <si>
    <t>Notes:</t>
  </si>
  <si>
    <t>1. HUL figures are consolidated, sourced from stockanalysis.com (data vendor: S&amp;P Global Market Intelligence), converted from INR millions to INR crore.</t>
  </si>
  <si>
    <t>2. Britannia figures are consolidated, sourced from Motilal Oswal MarketsMojo and Anand Rathi (aggregating company results filed with BSE/NSE). "Pretax Income (recurring)" excludes one-off/exceptional items (e.g., a divestment gain recognised in FY2023) that are included in the company's reported statutory PBT for that year; Net Income shown is the company's actual reported consolidated PAT.</t>
  </si>
  <si>
    <t>3. Nestlé India changed its fiscal year from calendar year (Jan-Dec) to April-March via a 15-month transition period. FY2022 and FY2023 above are standalone results for calendar years 2021 and 2022 (consolidated data not separately available for those periods from these sources); FY2024 is the 15-month transition period from Jan 2023 to Mar 2024 (consolidated) and is therefore not comparable on a 12-month basis; FY2025 and FY2026 are normal 12-month consolidated fiscal years.</t>
  </si>
  <si>
    <t>*EPS for Nestlé FY2022/FY2023 is omitted as the company undertook a 1:10 stock split in FY2023, making pre- and post-split EPS non-comparable without restatement.</t>
  </si>
  <si>
    <t>4. Figures are aggregated from third-party market-data providers, not transcribed directly from XBRL/audited financial statements; minor rounding or classification differences versus each company's audited Annual Report / Ind AS filings (available on bseindia.com / nseindia.com / company investor-relations pages) may exist. For statutory or reporting use, reconcile against the audited Annual Report.</t>
  </si>
  <si>
    <t>Indian FMCG Sector — Balance Sheet</t>
  </si>
  <si>
    <t>Cash &amp; Short-Term Investments</t>
  </si>
  <si>
    <t>Receivables</t>
  </si>
  <si>
    <t>Inventory</t>
  </si>
  <si>
    <t>Other Current Assets</t>
  </si>
  <si>
    <t>Total Current Assets</t>
  </si>
  <si>
    <t>Property, Plant &amp; Equipment</t>
  </si>
  <si>
    <t>Goodwill</t>
  </si>
  <si>
    <t>Other Intangible Assets</t>
  </si>
  <si>
    <t>Other Long-Term Assets</t>
  </si>
  <si>
    <t>Total Assets</t>
  </si>
  <si>
    <t>Accounts Payable</t>
  </si>
  <si>
    <t>Short-Term Debt &amp; Current Portion of LT Debt</t>
  </si>
  <si>
    <t>Other Current Liabilities</t>
  </si>
  <si>
    <t>Total Current Liabilities</t>
  </si>
  <si>
    <t>Long-Term Leases</t>
  </si>
  <si>
    <t>Other Long-Term Liabilities</t>
  </si>
  <si>
    <t>Total Liabilities</t>
  </si>
  <si>
    <t>Shareholders' Equity</t>
  </si>
  <si>
    <t>Total Liabilities &amp; Equity</t>
  </si>
  <si>
    <t>Cash &amp; Bank Balances</t>
  </si>
  <si>
    <t>Trade Receivables</t>
  </si>
  <si>
    <t>Inventories</t>
  </si>
  <si>
    <t>Investments</t>
  </si>
  <si>
    <t>Net Fixed Assets (incl. CWIP)</t>
  </si>
  <si>
    <t>Total Debt</t>
  </si>
  <si>
    <t>Other Liabilities (incl. current liabilities &amp; provisions)</t>
  </si>
  <si>
    <t>Shareholders' Funds</t>
  </si>
  <si>
    <t>Minority Interest</t>
  </si>
  <si>
    <t>Total Equity (incl. minority interest)</t>
  </si>
  <si>
    <t>Other Assets (incl. cash, receivables, inventory)</t>
  </si>
  <si>
    <t>1. HUL: consolidated, from stockanalysis.com (S&amp;P Global Market Intelligence), converted from INR millions to crore.</t>
  </si>
  <si>
    <t>2. Britannia: consolidated, from Anand Rathi (aggregating BSE/NSE filings).</t>
  </si>
  <si>
    <t>3. Nestlé India: FY2022/FY2023 are standalone (calendar years 2021/2022, pre fiscal-year-change); FY2024 is the 15-month transition period (Jan 2023-Mar 2024); FY2025/FY2026 are consolidated 12-month years. See Income Statement notes for detail on the fiscal year transition.</t>
  </si>
  <si>
    <t>4. Britannia and Nestlé balance sheets are presented in condensed form (fixed assets / investments / other assets, and total debt / other liabilities) rather than full current/non-current line-item detail, reflecting the level of detail available from the aggregator sources used; Other Assets/Liabilities are balancing (plug) figures so that Total Assets = Total Liabilities &amp; Equity in every year.</t>
  </si>
  <si>
    <t>5. Aggregated from third-party data providers; reconcile against each company's audited Annual Report for statutory use.</t>
  </si>
  <si>
    <t>Indian FMCG Sector — Cash Flow Statement</t>
  </si>
  <si>
    <t>Change in Working Capital</t>
  </si>
  <si>
    <t>Operating Cash Flow</t>
  </si>
  <si>
    <t>Capital Expenditures</t>
  </si>
  <si>
    <t>Other Investing Activities</t>
  </si>
  <si>
    <t>Investing Cash Flow</t>
  </si>
  <si>
    <t>Debt Repaid (net)</t>
  </si>
  <si>
    <t>Dividends Paid</t>
  </si>
  <si>
    <t>Other Financing Activities</t>
  </si>
  <si>
    <t>Financing Cash Flow</t>
  </si>
  <si>
    <t>Net Change in Cash</t>
  </si>
  <si>
    <t>Free Cash Flow</t>
  </si>
  <si>
    <t>Profit Before Tax</t>
  </si>
  <si>
    <t>Closing Cash &amp; Cash Equivalents</t>
  </si>
  <si>
    <t>1. HUL: consolidated, from stockanalysis.com (S&amp;P Global Market Intelligence).</t>
  </si>
  <si>
    <t>2. Britannia: consolidated, from Motilal Oswal MarketsMojo; capital expenditure was not separately disclosed by this source (it is embedded within Investing Cash Flow), so Operating/Investing/Financing Cash Flow and Net Change in Cash are shown as reported rather than a fully itemised build-up.</t>
  </si>
  <si>
    <t>3. Nestlé India: FY2022/FY2023 are standalone (calendar years 2021/2022); FY2024 is the 15-month transition period (Jan 2023-Mar 2024, consolidated); FY2025/FY2026 are consolidated 12-month years — see Income Statement notes.</t>
  </si>
  <si>
    <t>4. Aggregated from third-party data providers; reconcile against each company's audited Annual Report / cash flow statement for statutory use.</t>
  </si>
  <si>
    <t>Indian FMCG Sector — Key Financial Ratio Comparison</t>
  </si>
  <si>
    <t>Revenue (Rs. Crore)</t>
  </si>
  <si>
    <t>Company</t>
  </si>
  <si>
    <t>Hindustan Unilever</t>
  </si>
  <si>
    <t>Britannia Industries</t>
  </si>
  <si>
    <t>Nestle India</t>
  </si>
  <si>
    <t>Revenue Growth YoY (%)</t>
  </si>
  <si>
    <t>n/a</t>
  </si>
  <si>
    <t>EBITDA Margin (%)</t>
  </si>
  <si>
    <t>EBIT / Operating Margin (%)</t>
  </si>
  <si>
    <t>Net Profit Margin (%)</t>
  </si>
  <si>
    <t>Return on Equity - ROE (%)</t>
  </si>
  <si>
    <t>Return on Assets - ROA (%)</t>
  </si>
  <si>
    <t>Operating Cash Flow Margin (%)</t>
  </si>
  <si>
    <t>Debt-to-Equity (x)</t>
  </si>
  <si>
    <t>Asset Turnover (x)</t>
  </si>
  <si>
    <t>Interest Coverage Ratio (x)</t>
  </si>
  <si>
    <t>Pivot Tables — Ratio Data by Company &amp; Year</t>
  </si>
  <si>
    <t>PIVOT SOURCE DATA</t>
  </si>
  <si>
    <t>Fiscal Year</t>
  </si>
  <si>
    <t>Ratio</t>
  </si>
  <si>
    <t>Value</t>
  </si>
  <si>
    <t>PIVOT TABLE 1 — 5-Year Average Ratios by Company</t>
  </si>
  <si>
    <t>PIVOT TABLE 2 — Revenue (Rs. Crore) Trend by Year</t>
  </si>
  <si>
    <t>PIVOT TABLE 3 — Net Profit Margin (%) Trend by Year</t>
  </si>
  <si>
    <t>PIVOT TABLE 4 — Return on Equity (%) Trend by Year</t>
  </si>
  <si>
    <t>PIVOT TABLE 5 — EBITDA Margin (%) Trend by Year</t>
  </si>
  <si>
    <t>Indian FMCG Sector — Ratio Comparison Charts</t>
  </si>
  <si>
    <t>All charts are native Excel charts, linked live to the Pivot Tables sheet — they update automatically if source data changes.</t>
  </si>
  <si>
    <t>Row Labels</t>
  </si>
  <si>
    <t>Sum of FY2026</t>
  </si>
  <si>
    <t>Grand Total</t>
  </si>
  <si>
    <t>Sum of FY2022</t>
  </si>
  <si>
    <t>Sum of FY2023</t>
  </si>
  <si>
    <t>Sum of FY2024</t>
  </si>
  <si>
    <t>Sum of FY2025</t>
  </si>
  <si>
    <t>FMCG Sector — Financial Red Flag Analysis</t>
  </si>
  <si>
    <t>Rule-based screening of HUL, Britannia and Nestlé using the existing Ratio Comparison sheet. Flags indicate areas for investigation, not proof of financial problems.</t>
  </si>
  <si>
    <t>SUMMARY — CURRENT FY2026</t>
  </si>
  <si>
    <t>Red Flags</t>
  </si>
  <si>
    <t>Watch Items</t>
  </si>
  <si>
    <t>Clear Metrics</t>
  </si>
  <si>
    <t>Overall Screening</t>
  </si>
  <si>
    <t>Metric</t>
  </si>
  <si>
    <t>FY2026 Value</t>
  </si>
  <si>
    <t>Prior FY Value</t>
  </si>
  <si>
    <t>Change / Test</t>
  </si>
  <si>
    <t>Threshold</t>
  </si>
  <si>
    <t>Direction</t>
  </si>
  <si>
    <t>Status</t>
  </si>
  <si>
    <t>Why it matters</t>
  </si>
  <si>
    <t>Revenue Growth</t>
  </si>
  <si>
    <t>&lt; 0</t>
  </si>
  <si>
    <t>Revenue contraction</t>
  </si>
  <si>
    <t>EBITDA Margin</t>
  </si>
  <si>
    <t>&lt; -threshold</t>
  </si>
  <si>
    <t>YoY margin fall &gt;2 percentage points</t>
  </si>
  <si>
    <t>EBIT / Operating Margin</t>
  </si>
  <si>
    <t>YoY operating-margin fall &gt;2 percentage points</t>
  </si>
  <si>
    <t>Net Profit Margin</t>
  </si>
  <si>
    <t>YoY net-margin fall &gt;2 percentage points</t>
  </si>
  <si>
    <t>ROE</t>
  </si>
  <si>
    <t>&gt; threshold</t>
  </si>
  <si>
    <t>Unusually high ROE (&gt;50%) — investigate equity denominator</t>
  </si>
  <si>
    <t>ROA</t>
  </si>
  <si>
    <t>YoY ROA fall &gt;3 percentage points</t>
  </si>
  <si>
    <t>Operating Cash Flow Margin</t>
  </si>
  <si>
    <t>&lt; threshold</t>
  </si>
  <si>
    <t>OCF margin below 10%</t>
  </si>
  <si>
    <t>YoY OCF-margin fall &gt;3 percentage points</t>
  </si>
  <si>
    <t>Debt-to-Equity</t>
  </si>
  <si>
    <t>Debt-to-equity above 0.50x</t>
  </si>
  <si>
    <t>Asset Turnover</t>
  </si>
  <si>
    <t>YoY asset-turnover decline &gt;15%</t>
  </si>
  <si>
    <t>Interest Coverage</t>
  </si>
  <si>
    <t>Interest coverage below 5x</t>
  </si>
  <si>
    <t>5-YEAR HISTORICAL SCREEN</t>
  </si>
  <si>
    <t>Historical Test</t>
  </si>
  <si>
    <t>Historical Flag</t>
  </si>
  <si>
    <t>MAX &gt; 0.75</t>
  </si>
  <si>
    <t>ANY &lt; 0</t>
  </si>
  <si>
    <t>ANY &lt; 0.10</t>
  </si>
  <si>
    <t>ANY &lt; 5</t>
  </si>
  <si>
    <t>Important:</t>
  </si>
  <si>
    <t>Thresholds are screening rules for this assignment. A red flag means 'investigate further' and should be interpreted with company-specific context, accounting policies and sector conditions.</t>
  </si>
  <si>
    <t>Pivot Tables Analysis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</si>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</sst>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\x"/>
  </numFmts>
  <fonts count="21" x14ac:knownFonts="1">
    <font>
      <sz val="11"/>
      <color theme="1"/>
      <name val="Calibri"/>
      <family val="2"/>
      <charset val="1"/>
    </font>
    <font>
      <b/>
      <sz val="13"/>
      <name val="Arial"/>
      <family val="2"/>
      <charset val="1"/>
    </font>
    <font>
      <b/>
      <u/>
      <sz val="11"/>
      <name val="Arial"/>
      <family val="2"/>
      <charset val="1"/>
    </font>
    <font>
      <b/>
      <sz val="11"/>
      <name val="Arial"/>
      <family val="2"/>
      <charset val="1"/>
    </font>
    <font>
      <sz val="10"/>
      <name val="Arial"/>
      <family val="2"/>
      <charset val="1"/>
    </font>
    <font>
      <i/>
      <sz val="8"/>
      <color rgb="FF808080"/>
      <name val="Arial"/>
      <family val="2"/>
      <charset val="1"/>
    </font>
    <font>
      <b/>
      <sz val="13"/>
      <name val="Arial"/>
      <family val="2"/>
    </font>
    <font>
      <i/>
      <sz val="9"/>
      <color rgb="FF59595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i/>
      <sz val="8"/>
      <color rgb="FF808080"/>
      <name val="Arial"/>
      <family val="2"/>
    </font>
    <font>
      <b/>
      <sz val="11"/>
      <name val="Arial"/>
      <family val="2"/>
    </font>
    <font>
      <sz val="11"/>
      <name val="Calibri"/>
      <family val="2"/>
      <charset val="1"/>
    </font>
    <font>
      <b/>
      <sz val="11"/>
      <color theme="1"/>
      <name val="Arial"/>
      <family val="2"/>
    </font>
    <font>
      <sz val="11"/>
      <color theme="1"/>
      <name val="Calibri"/>
      <family val="2"/>
      <charset val="1"/>
    </font>
    <font>
      <b/>
      <sz val="36"/>
      <color theme="0"/>
      <name val="Calibri"/>
      <family val="2"/>
    </font>
    <font>
      <b/>
      <sz val="11"/>
      <color rgb="FFFFFFFF"/>
      <name val="Calibri"/>
    </font>
    <font>
      <b/>
      <sz val="11"/>
      <name val="Calibri"/>
    </font>
    <font>
      <sz val="18"/>
      <color theme="1"/>
      <name val="Calibri"/>
      <family val="2"/>
      <charset val="1"/>
    </font>
    <font>
      <b/>
      <sz val="16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F4E78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7B7B7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2">
    <xf numFmtId="0" fontId="0" fillId="0" borderId="0"/>
    <xf numFmtId="9" fontId="15" fillId="0" borderId="0"/>
  </cellStyleXfs>
  <cellXfs count="48">
    <xf numFmtId="0" fontId="0" fillId="0" borderId="0" xfId="0"/>
    <xf numFmtId="0" fontId="7" fillId="0" borderId="0" xfId="0" applyFont="1"/>
    <xf numFmtId="0" fontId="2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0" fillId="0" borderId="1" xfId="0" applyBorder="1"/>
    <xf numFmtId="0" fontId="5" fillId="0" borderId="0" xfId="0" applyFont="1"/>
    <xf numFmtId="0" fontId="6" fillId="0" borderId="0" xfId="0" applyFont="1"/>
    <xf numFmtId="0" fontId="8" fillId="0" borderId="2" xfId="0" applyFont="1" applyBorder="1"/>
    <xf numFmtId="0" fontId="8" fillId="0" borderId="2" xfId="0" applyFont="1" applyBorder="1" applyAlignment="1">
      <alignment horizontal="center" vertical="center"/>
    </xf>
    <xf numFmtId="0" fontId="9" fillId="0" borderId="2" xfId="0" applyFont="1" applyBorder="1"/>
    <xf numFmtId="0" fontId="9" fillId="0" borderId="2" xfId="0" applyFont="1" applyBorder="1" applyAlignment="1">
      <alignment horizontal="center" vertical="center"/>
    </xf>
    <xf numFmtId="0" fontId="10" fillId="0" borderId="0" xfId="0" applyFont="1"/>
    <xf numFmtId="0" fontId="13" fillId="0" borderId="0" xfId="0" applyFont="1"/>
    <xf numFmtId="9" fontId="9" fillId="0" borderId="2" xfId="1" applyFont="1" applyBorder="1" applyAlignment="1">
      <alignment horizontal="center" vertical="center"/>
    </xf>
    <xf numFmtId="10" fontId="9" fillId="0" borderId="2" xfId="1" applyNumberFormat="1" applyFont="1" applyBorder="1" applyAlignment="1">
      <alignment horizontal="center" vertical="center"/>
    </xf>
    <xf numFmtId="10" fontId="9" fillId="0" borderId="2" xfId="1" applyNumberFormat="1" applyFont="1" applyBorder="1"/>
    <xf numFmtId="0" fontId="12" fillId="0" borderId="3" xfId="0" applyFont="1" applyBorder="1"/>
    <xf numFmtId="0" fontId="0" fillId="4" borderId="0" xfId="0" applyFill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9" fontId="0" fillId="0" borderId="0" xfId="0" applyNumberFormat="1"/>
    <xf numFmtId="2" fontId="0" fillId="0" borderId="0" xfId="0" applyNumberFormat="1"/>
    <xf numFmtId="0" fontId="17" fillId="5" borderId="0" xfId="0" applyFont="1" applyFill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center"/>
    </xf>
    <xf numFmtId="0" fontId="17" fillId="5" borderId="0" xfId="0" applyFont="1" applyFill="1" applyAlignment="1">
      <alignment horizontal="center" wrapText="1"/>
    </xf>
    <xf numFmtId="0" fontId="0" fillId="0" borderId="4" xfId="0" applyBorder="1" applyAlignment="1">
      <alignment vertical="top" wrapText="1"/>
    </xf>
    <xf numFmtId="164" fontId="0" fillId="0" borderId="4" xfId="0" applyNumberFormat="1" applyBorder="1" applyAlignment="1">
      <alignment vertical="top" wrapText="1"/>
    </xf>
    <xf numFmtId="165" fontId="0" fillId="0" borderId="4" xfId="0" applyNumberFormat="1" applyBorder="1" applyAlignment="1">
      <alignment vertical="top" wrapText="1"/>
    </xf>
    <xf numFmtId="0" fontId="18" fillId="0" borderId="0" xfId="0" applyFont="1"/>
    <xf numFmtId="0" fontId="0" fillId="0" borderId="5" xfId="0" applyBorder="1"/>
    <xf numFmtId="0" fontId="16" fillId="3" borderId="0" xfId="0" applyFont="1" applyFill="1" applyAlignment="1">
      <alignment horizontal="center"/>
    </xf>
    <xf numFmtId="0" fontId="0" fillId="4" borderId="0" xfId="0" applyFill="1"/>
    <xf numFmtId="0" fontId="1" fillId="2" borderId="0" xfId="0" applyFont="1" applyFill="1" applyAlignment="1">
      <alignment horizontal="center"/>
    </xf>
    <xf numFmtId="0" fontId="0" fillId="0" borderId="0" xfId="0"/>
    <xf numFmtId="0" fontId="6" fillId="2" borderId="0" xfId="0" applyFont="1" applyFill="1" applyAlignment="1">
      <alignment horizontal="center"/>
    </xf>
    <xf numFmtId="0" fontId="12" fillId="0" borderId="0" xfId="0" applyFont="1"/>
    <xf numFmtId="0" fontId="13" fillId="0" borderId="0" xfId="0" applyFont="1"/>
    <xf numFmtId="0" fontId="11" fillId="0" borderId="0" xfId="0" applyFont="1"/>
    <xf numFmtId="0" fontId="14" fillId="0" borderId="0" xfId="0" applyFont="1"/>
    <xf numFmtId="0" fontId="19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17" fillId="5" borderId="0" xfId="0" applyFont="1" applyFill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2">
    <cellStyle name="Normal" xfId="0" builtinId="0"/>
    <cellStyle name="Percent" xfId="1" builtinId="5"/>
  </cellStyles>
  <dxfs count="9"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numFmt numFmtId="2" formatCode="0.0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0504D"/>
      <rgbColor rgb="FFF2F2F2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666666"/>
      <rgbColor rgb="FFB3B3B3"/>
      <rgbColor rgb="FF003366"/>
      <rgbColor rgb="FF339966"/>
      <rgbColor rgb="FF003300"/>
      <rgbColor rgb="FF333300"/>
      <rgbColor rgb="FF993300"/>
      <rgbColor rgb="FF993366"/>
      <rgbColor rgb="FF2E5395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5-Year Average Profitability &amp; Return Ratios (%) by Company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Tables'!$B$173</c:f>
              <c:strCache>
                <c:ptCount val="1"/>
                <c:pt idx="0">
                  <c:v>Hindustan Unilever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Tables'!$A$174:$A$179</c:f>
              <c:strCache>
                <c:ptCount val="6"/>
                <c:pt idx="0">
                  <c:v>EBITDA Margin (%)</c:v>
                </c:pt>
                <c:pt idx="1">
                  <c:v>EBIT / Operating Margin (%)</c:v>
                </c:pt>
                <c:pt idx="2">
                  <c:v>Net Profit Margin (%)</c:v>
                </c:pt>
                <c:pt idx="3">
                  <c:v>Return on Equity - ROE (%)</c:v>
                </c:pt>
                <c:pt idx="4">
                  <c:v>Return on Assets - ROA (%)</c:v>
                </c:pt>
                <c:pt idx="5">
                  <c:v>Operating Cash Flow Margin (%)</c:v>
                </c:pt>
              </c:strCache>
            </c:strRef>
          </c:cat>
          <c:val>
            <c:numRef>
              <c:f>'Pivot Tables'!$B$174:$B$179</c:f>
              <c:numCache>
                <c:formatCode>0.00%</c:formatCode>
                <c:ptCount val="6"/>
                <c:pt idx="0">
                  <c:v>0.22978947008076905</c:v>
                </c:pt>
                <c:pt idx="1">
                  <c:v>0.2172292456633394</c:v>
                </c:pt>
                <c:pt idx="2">
                  <c:v>0.18186409816322183</c:v>
                </c:pt>
                <c:pt idx="3">
                  <c:v>0.22051824129445552</c:v>
                </c:pt>
                <c:pt idx="4">
                  <c:v>0.14343879271209314</c:v>
                </c:pt>
                <c:pt idx="5">
                  <c:v>0.19035681005884655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B7-4EA1-8014-9CAFB18973F0}"/>
            </c:ext>
          </c:extLst>
        </c:ser>
        <c:ser>
          <c:idx val="1"/>
          <c:order val="1"/>
          <c:tx>
            <c:strRef>
              <c:f>'Pivot Tables'!$C$173</c:f>
              <c:strCache>
                <c:ptCount val="1"/>
                <c:pt idx="0">
                  <c:v>Britannia Industries</c:v>
                </c:pt>
              </c:strCache>
            </c:strRef>
          </c:tx>
          <c:spPr>
            <a:solidFill>
              <a:srgbClr val="C0504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Tables'!$A$174:$A$179</c:f>
              <c:strCache>
                <c:ptCount val="6"/>
                <c:pt idx="0">
                  <c:v>EBITDA Margin (%)</c:v>
                </c:pt>
                <c:pt idx="1">
                  <c:v>EBIT / Operating Margin (%)</c:v>
                </c:pt>
                <c:pt idx="2">
                  <c:v>Net Profit Margin (%)</c:v>
                </c:pt>
                <c:pt idx="3">
                  <c:v>Return on Equity - ROE (%)</c:v>
                </c:pt>
                <c:pt idx="4">
                  <c:v>Return on Assets - ROA (%)</c:v>
                </c:pt>
                <c:pt idx="5">
                  <c:v>Operating Cash Flow Margin (%)</c:v>
                </c:pt>
              </c:strCache>
            </c:strRef>
          </c:cat>
          <c:val>
            <c:numRef>
              <c:f>'Pivot Tables'!$C$174:$C$179</c:f>
              <c:numCache>
                <c:formatCode>0.00%</c:formatCode>
                <c:ptCount val="6"/>
                <c:pt idx="0">
                  <c:v>0.1895805992184138</c:v>
                </c:pt>
                <c:pt idx="1">
                  <c:v>0.1732245854404158</c:v>
                </c:pt>
                <c:pt idx="2">
                  <c:v>0.12697715870200108</c:v>
                </c:pt>
                <c:pt idx="3">
                  <c:v>0.55847428659345122</c:v>
                </c:pt>
                <c:pt idx="4">
                  <c:v>0.24019239607095014</c:v>
                </c:pt>
                <c:pt idx="5">
                  <c:v>0.13563411435655767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B7-4EA1-8014-9CAFB18973F0}"/>
            </c:ext>
          </c:extLst>
        </c:ser>
        <c:ser>
          <c:idx val="2"/>
          <c:order val="2"/>
          <c:tx>
            <c:strRef>
              <c:f>'Pivot Tables'!$D$173</c:f>
              <c:strCache>
                <c:ptCount val="1"/>
                <c:pt idx="0">
                  <c:v>Nestle India</c:v>
                </c:pt>
              </c:strCache>
            </c:strRef>
          </c:tx>
          <c:spPr>
            <a:solidFill>
              <a:srgbClr val="9BBB59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Tables'!$A$174:$A$179</c:f>
              <c:strCache>
                <c:ptCount val="6"/>
                <c:pt idx="0">
                  <c:v>EBITDA Margin (%)</c:v>
                </c:pt>
                <c:pt idx="1">
                  <c:v>EBIT / Operating Margin (%)</c:v>
                </c:pt>
                <c:pt idx="2">
                  <c:v>Net Profit Margin (%)</c:v>
                </c:pt>
                <c:pt idx="3">
                  <c:v>Return on Equity - ROE (%)</c:v>
                </c:pt>
                <c:pt idx="4">
                  <c:v>Return on Assets - ROA (%)</c:v>
                </c:pt>
                <c:pt idx="5">
                  <c:v>Operating Cash Flow Margin (%)</c:v>
                </c:pt>
              </c:strCache>
            </c:strRef>
          </c:cat>
          <c:val>
            <c:numRef>
              <c:f>'Pivot Tables'!$D$174:$D$179</c:f>
              <c:numCache>
                <c:formatCode>0.00%</c:formatCode>
                <c:ptCount val="6"/>
                <c:pt idx="0">
                  <c:v>0.23739374544943287</c:v>
                </c:pt>
                <c:pt idx="1">
                  <c:v>0.20666621880604277</c:v>
                </c:pt>
                <c:pt idx="2">
                  <c:v>0.1512643399172354</c:v>
                </c:pt>
                <c:pt idx="3">
                  <c:v>0.94328412450880672</c:v>
                </c:pt>
                <c:pt idx="4">
                  <c:v>0.33756813246475381</c:v>
                </c:pt>
                <c:pt idx="5">
                  <c:v>0.16963140978938909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B7-4EA1-8014-9CAFB1897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993104"/>
        <c:axId val="7238975"/>
      </c:barChart>
      <c:catAx>
        <c:axId val="5099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38975"/>
        <c:crosses val="autoZero"/>
        <c:auto val="1"/>
        <c:lblAlgn val="ctr"/>
        <c:lblOffset val="100"/>
        <c:noMultiLvlLbl val="0"/>
      </c:catAx>
      <c:valAx>
        <c:axId val="723897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% Value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%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993104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5-Year Average Leverage, Efficiency &amp; Coverage Ratios (x) by Company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Tables'!$B$179</c:f>
              <c:strCache>
                <c:ptCount val="1"/>
                <c:pt idx="0">
                  <c:v>19.04%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Tables'!$A$180:$A$182</c:f>
              <c:strCache>
                <c:ptCount val="3"/>
                <c:pt idx="0">
                  <c:v>Debt-to-Equity (x)</c:v>
                </c:pt>
                <c:pt idx="1">
                  <c:v>Asset Turnover (x)</c:v>
                </c:pt>
                <c:pt idx="2">
                  <c:v>Interest Coverage Ratio (x)</c:v>
                </c:pt>
              </c:strCache>
            </c:strRef>
          </c:cat>
          <c:val>
            <c:numRef>
              <c:f>'Pivot Tables'!$B$180:$B$182</c:f>
              <c:numCache>
                <c:formatCode>General</c:formatCode>
                <c:ptCount val="3"/>
                <c:pt idx="0">
                  <c:v>2.0780548272638671E-2</c:v>
                </c:pt>
                <c:pt idx="1">
                  <c:v>0.78744247619491203</c:v>
                </c:pt>
                <c:pt idx="2">
                  <c:v>84.016628639704095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0D-4538-991E-FBD2C69D1246}"/>
            </c:ext>
          </c:extLst>
        </c:ser>
        <c:ser>
          <c:idx val="1"/>
          <c:order val="1"/>
          <c:tx>
            <c:strRef>
              <c:f>'Pivot Tables'!$C$179</c:f>
              <c:strCache>
                <c:ptCount val="1"/>
                <c:pt idx="0">
                  <c:v>13.56%</c:v>
                </c:pt>
              </c:strCache>
            </c:strRef>
          </c:tx>
          <c:spPr>
            <a:solidFill>
              <a:srgbClr val="C0504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Tables'!$A$180:$A$182</c:f>
              <c:strCache>
                <c:ptCount val="3"/>
                <c:pt idx="0">
                  <c:v>Debt-to-Equity (x)</c:v>
                </c:pt>
                <c:pt idx="1">
                  <c:v>Asset Turnover (x)</c:v>
                </c:pt>
                <c:pt idx="2">
                  <c:v>Interest Coverage Ratio (x)</c:v>
                </c:pt>
              </c:strCache>
            </c:strRef>
          </c:cat>
          <c:val>
            <c:numRef>
              <c:f>'Pivot Tables'!$C$180:$C$182</c:f>
              <c:numCache>
                <c:formatCode>General</c:formatCode>
                <c:ptCount val="3"/>
                <c:pt idx="0">
                  <c:v>0.57448856316319585</c:v>
                </c:pt>
                <c:pt idx="1">
                  <c:v>1.8953086705067417</c:v>
                </c:pt>
                <c:pt idx="2">
                  <c:v>20.736394760278234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0D-4538-991E-FBD2C69D1246}"/>
            </c:ext>
          </c:extLst>
        </c:ser>
        <c:ser>
          <c:idx val="2"/>
          <c:order val="2"/>
          <c:tx>
            <c:strRef>
              <c:f>'Pivot Tables'!$D$179</c:f>
              <c:strCache>
                <c:ptCount val="1"/>
                <c:pt idx="0">
                  <c:v>16.96%</c:v>
                </c:pt>
              </c:strCache>
            </c:strRef>
          </c:tx>
          <c:spPr>
            <a:solidFill>
              <a:srgbClr val="9BBB59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Tables'!$A$180:$A$182</c:f>
              <c:strCache>
                <c:ptCount val="3"/>
                <c:pt idx="0">
                  <c:v>Debt-to-Equity (x)</c:v>
                </c:pt>
                <c:pt idx="1">
                  <c:v>Asset Turnover (x)</c:v>
                </c:pt>
                <c:pt idx="2">
                  <c:v>Interest Coverage Ratio (x)</c:v>
                </c:pt>
              </c:strCache>
            </c:strRef>
          </c:cat>
          <c:val>
            <c:numRef>
              <c:f>'Pivot Tables'!$D$180:$D$182</c:f>
              <c:numCache>
                <c:formatCode>General</c:formatCode>
                <c:ptCount val="3"/>
                <c:pt idx="0">
                  <c:v>0.14545591135710606</c:v>
                </c:pt>
                <c:pt idx="1">
                  <c:v>2.2483782213086672</c:v>
                </c:pt>
                <c:pt idx="2">
                  <c:v>26.680229073763503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0D-4538-991E-FBD2C69D1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669584"/>
        <c:axId val="28049170"/>
      </c:barChart>
      <c:catAx>
        <c:axId val="9066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049170"/>
        <c:crosses val="autoZero"/>
        <c:auto val="1"/>
        <c:lblAlgn val="ctr"/>
        <c:lblOffset val="100"/>
        <c:noMultiLvlLbl val="0"/>
      </c:catAx>
      <c:valAx>
        <c:axId val="2804917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Multiple (x)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669584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Net Profit Margin (%) Trend, FY2022-FY2026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Tables'!$B$195</c:f>
              <c:strCache>
                <c:ptCount val="1"/>
                <c:pt idx="0">
                  <c:v>Hindustan Unilever</c:v>
                </c:pt>
              </c:strCache>
            </c:strRef>
          </c:tx>
          <c:spPr>
            <a:ln w="21960">
              <a:solidFill>
                <a:srgbClr val="4F81BD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rgbClr val="4F81BD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Tables'!$A$196:$A$200</c:f>
              <c:strCache>
                <c:ptCount val="5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  <c:pt idx="4">
                  <c:v>FY2026</c:v>
                </c:pt>
              </c:strCache>
            </c:strRef>
          </c:cat>
          <c:val>
            <c:numRef>
              <c:f>'Pivot Tables'!$B$196:$B$200</c:f>
              <c:numCache>
                <c:formatCode>0.00%</c:formatCode>
                <c:ptCount val="5"/>
                <c:pt idx="0">
                  <c:v>0.16929794455249209</c:v>
                </c:pt>
                <c:pt idx="1">
                  <c:v>0.16705183228788378</c:v>
                </c:pt>
                <c:pt idx="2">
                  <c:v>0.16603657748481324</c:v>
                </c:pt>
                <c:pt idx="3">
                  <c:v>0.17364009913905556</c:v>
                </c:pt>
                <c:pt idx="4">
                  <c:v>0.23329403735186449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42-4304-8915-0EDE3752BF08}"/>
            </c:ext>
          </c:extLst>
        </c:ser>
        <c:ser>
          <c:idx val="1"/>
          <c:order val="1"/>
          <c:tx>
            <c:strRef>
              <c:f>'Pivot Tables'!$C$195</c:f>
              <c:strCache>
                <c:ptCount val="1"/>
                <c:pt idx="0">
                  <c:v>Britannia Industries</c:v>
                </c:pt>
              </c:strCache>
            </c:strRef>
          </c:tx>
          <c:spPr>
            <a:ln w="21960">
              <a:solidFill>
                <a:srgbClr val="C0504D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rgbClr val="C0504D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Tables'!$A$196:$A$200</c:f>
              <c:strCache>
                <c:ptCount val="5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  <c:pt idx="4">
                  <c:v>FY2026</c:v>
                </c:pt>
              </c:strCache>
            </c:strRef>
          </c:cat>
          <c:val>
            <c:numRef>
              <c:f>'Pivot Tables'!$C$196:$C$200</c:f>
              <c:numCache>
                <c:formatCode>0.00%</c:formatCode>
                <c:ptCount val="5"/>
                <c:pt idx="0">
                  <c:v>0.10724391624221845</c:v>
                </c:pt>
                <c:pt idx="1">
                  <c:v>0.14171779141104293</c:v>
                </c:pt>
                <c:pt idx="2">
                  <c:v>0.12743753354403961</c:v>
                </c:pt>
                <c:pt idx="3">
                  <c:v>0.1219485007245569</c:v>
                </c:pt>
                <c:pt idx="4">
                  <c:v>0.13653805158814752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42-4304-8915-0EDE3752BF08}"/>
            </c:ext>
          </c:extLst>
        </c:ser>
        <c:ser>
          <c:idx val="2"/>
          <c:order val="2"/>
          <c:tx>
            <c:strRef>
              <c:f>'Pivot Tables'!$D$195</c:f>
              <c:strCache>
                <c:ptCount val="1"/>
                <c:pt idx="0">
                  <c:v>Nestle India</c:v>
                </c:pt>
              </c:strCache>
            </c:strRef>
          </c:tx>
          <c:spPr>
            <a:ln w="21960">
              <a:solidFill>
                <a:srgbClr val="9BBB59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rgbClr val="9BBB59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Tables'!$A$196:$A$200</c:f>
              <c:strCache>
                <c:ptCount val="5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  <c:pt idx="4">
                  <c:v>FY2026</c:v>
                </c:pt>
              </c:strCache>
            </c:strRef>
          </c:cat>
          <c:val>
            <c:numRef>
              <c:f>'Pivot Tables'!$D$196:$D$200</c:f>
              <c:numCache>
                <c:formatCode>0.00%</c:formatCode>
                <c:ptCount val="5"/>
                <c:pt idx="0">
                  <c:v>0.14368089003459739</c:v>
                </c:pt>
                <c:pt idx="1">
                  <c:v>0.14150440906669823</c:v>
                </c:pt>
                <c:pt idx="2">
                  <c:v>0.16122817086168731</c:v>
                </c:pt>
                <c:pt idx="3">
                  <c:v>0.1587961587961588</c:v>
                </c:pt>
                <c:pt idx="4">
                  <c:v>0.15111207082703521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42-4304-8915-0EDE3752B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marker val="1"/>
        <c:smooth val="0"/>
        <c:axId val="41468877"/>
        <c:axId val="63899614"/>
      </c:lineChart>
      <c:catAx>
        <c:axId val="414688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899614"/>
        <c:crosses val="autoZero"/>
        <c:auto val="1"/>
        <c:lblAlgn val="ctr"/>
        <c:lblOffset val="100"/>
        <c:noMultiLvlLbl val="0"/>
      </c:catAx>
      <c:valAx>
        <c:axId val="6389961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Net Margin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%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468877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Return on Equity (%) Trend, FY2022-FY2026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Tables'!$B$204</c:f>
              <c:strCache>
                <c:ptCount val="1"/>
                <c:pt idx="0">
                  <c:v>Hindustan Unilever</c:v>
                </c:pt>
              </c:strCache>
            </c:strRef>
          </c:tx>
          <c:spPr>
            <a:ln w="21960">
              <a:solidFill>
                <a:srgbClr val="4F81BD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rgbClr val="4F81BD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Tables'!$A$205:$A$209</c:f>
              <c:strCache>
                <c:ptCount val="5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  <c:pt idx="4">
                  <c:v>FY2026</c:v>
                </c:pt>
              </c:strCache>
            </c:strRef>
          </c:cat>
          <c:val>
            <c:numRef>
              <c:f>'Pivot Tables'!$B$205:$B$209</c:f>
              <c:numCache>
                <c:formatCode>0.00%</c:formatCode>
                <c:ptCount val="5"/>
                <c:pt idx="0">
                  <c:v>0.18088292215861634</c:v>
                </c:pt>
                <c:pt idx="1">
                  <c:v>0.20030877637464867</c:v>
                </c:pt>
                <c:pt idx="2">
                  <c:v>0.19985220621122843</c:v>
                </c:pt>
                <c:pt idx="3">
                  <c:v>0.21465863049043521</c:v>
                </c:pt>
                <c:pt idx="4">
                  <c:v>0.30688867123734903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FE-438C-BBB9-D8AEEBCA4555}"/>
            </c:ext>
          </c:extLst>
        </c:ser>
        <c:ser>
          <c:idx val="1"/>
          <c:order val="1"/>
          <c:tx>
            <c:strRef>
              <c:f>'Pivot Tables'!$C$204</c:f>
              <c:strCache>
                <c:ptCount val="1"/>
                <c:pt idx="0">
                  <c:v>Britannia Industries</c:v>
                </c:pt>
              </c:strCache>
            </c:strRef>
          </c:tx>
          <c:spPr>
            <a:ln w="21960">
              <a:solidFill>
                <a:srgbClr val="C0504D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rgbClr val="C0504D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Tables'!$A$205:$A$209</c:f>
              <c:strCache>
                <c:ptCount val="5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  <c:pt idx="4">
                  <c:v>FY2026</c:v>
                </c:pt>
              </c:strCache>
            </c:strRef>
          </c:cat>
          <c:val>
            <c:numRef>
              <c:f>'Pivot Tables'!$C$205:$C$209</c:f>
              <c:numCache>
                <c:formatCode>0.00%</c:formatCode>
                <c:ptCount val="5"/>
                <c:pt idx="0">
                  <c:v>0.59265050820953868</c:v>
                </c:pt>
                <c:pt idx="1">
                  <c:v>0.65365025466893034</c:v>
                </c:pt>
                <c:pt idx="2">
                  <c:v>0.54211060375443942</c:v>
                </c:pt>
                <c:pt idx="3">
                  <c:v>0.50229568411386594</c:v>
                </c:pt>
                <c:pt idx="4">
                  <c:v>0.50166438222048171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FE-438C-BBB9-D8AEEBCA4555}"/>
            </c:ext>
          </c:extLst>
        </c:ser>
        <c:ser>
          <c:idx val="2"/>
          <c:order val="2"/>
          <c:tx>
            <c:strRef>
              <c:f>'Pivot Tables'!$D$204</c:f>
              <c:strCache>
                <c:ptCount val="1"/>
                <c:pt idx="0">
                  <c:v>Nestle India</c:v>
                </c:pt>
              </c:strCache>
            </c:strRef>
          </c:tx>
          <c:spPr>
            <a:ln w="21960">
              <a:solidFill>
                <a:srgbClr val="9BBB59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rgbClr val="9BBB59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Tables'!$A$205:$A$209</c:f>
              <c:strCache>
                <c:ptCount val="5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  <c:pt idx="4">
                  <c:v>FY2026</c:v>
                </c:pt>
              </c:strCache>
            </c:strRef>
          </c:cat>
          <c:val>
            <c:numRef>
              <c:f>'Pivot Tables'!$D$205:$D$209</c:f>
              <c:numCache>
                <c:formatCode>0.00%</c:formatCode>
                <c:ptCount val="5"/>
                <c:pt idx="0">
                  <c:v>1.0883864337101747</c:v>
                </c:pt>
                <c:pt idx="1">
                  <c:v>0.97234648230988208</c:v>
                </c:pt>
                <c:pt idx="2">
                  <c:v>1.1771924573480994</c:v>
                </c:pt>
                <c:pt idx="3">
                  <c:v>0.8</c:v>
                </c:pt>
                <c:pt idx="4">
                  <c:v>0.67849524917587745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FE-438C-BBB9-D8AEEBCA4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marker val="1"/>
        <c:smooth val="0"/>
        <c:axId val="14374050"/>
        <c:axId val="68677139"/>
      </c:lineChart>
      <c:catAx>
        <c:axId val="143740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677139"/>
        <c:crosses val="autoZero"/>
        <c:auto val="1"/>
        <c:lblAlgn val="ctr"/>
        <c:lblOffset val="100"/>
        <c:noMultiLvlLbl val="0"/>
      </c:catAx>
      <c:valAx>
        <c:axId val="6867713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ROE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%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374050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EBITDA Margin (%) Trend, FY2022-FY2026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Tables'!$B$213</c:f>
              <c:strCache>
                <c:ptCount val="1"/>
                <c:pt idx="0">
                  <c:v>Hindustan Unilever</c:v>
                </c:pt>
              </c:strCache>
            </c:strRef>
          </c:tx>
          <c:spPr>
            <a:ln w="21960">
              <a:solidFill>
                <a:srgbClr val="4F81BD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rgbClr val="4F81BD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Tables'!$A$214:$A$218</c:f>
              <c:strCache>
                <c:ptCount val="5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  <c:pt idx="4">
                  <c:v>FY2026</c:v>
                </c:pt>
              </c:strCache>
            </c:strRef>
          </c:cat>
          <c:val>
            <c:numRef>
              <c:f>'Pivot Tables'!$B$214:$B$218</c:f>
              <c:numCache>
                <c:formatCode>0.00%</c:formatCode>
                <c:ptCount val="5"/>
                <c:pt idx="0">
                  <c:v>0.23649086679632383</c:v>
                </c:pt>
                <c:pt idx="1">
                  <c:v>0.22585011554968637</c:v>
                </c:pt>
                <c:pt idx="2">
                  <c:v>0.22875468527853174</c:v>
                </c:pt>
                <c:pt idx="3">
                  <c:v>0.23209626924080354</c:v>
                </c:pt>
                <c:pt idx="4">
                  <c:v>0.22575541353849973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80-49EB-B395-6ABB37259685}"/>
            </c:ext>
          </c:extLst>
        </c:ser>
        <c:ser>
          <c:idx val="1"/>
          <c:order val="1"/>
          <c:tx>
            <c:strRef>
              <c:f>'Pivot Tables'!$C$213</c:f>
              <c:strCache>
                <c:ptCount val="1"/>
                <c:pt idx="0">
                  <c:v>Britannia Industries</c:v>
                </c:pt>
              </c:strCache>
            </c:strRef>
          </c:tx>
          <c:spPr>
            <a:ln w="21960">
              <a:solidFill>
                <a:srgbClr val="C0504D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rgbClr val="C0504D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Tables'!$A$214:$A$218</c:f>
              <c:strCache>
                <c:ptCount val="5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  <c:pt idx="4">
                  <c:v>FY2026</c:v>
                </c:pt>
              </c:strCache>
            </c:strRef>
          </c:cat>
          <c:val>
            <c:numRef>
              <c:f>'Pivot Tables'!$C$214:$C$218</c:f>
              <c:numCache>
                <c:formatCode>0.00%</c:formatCode>
                <c:ptCount val="5"/>
                <c:pt idx="0">
                  <c:v>0.23649086679632383</c:v>
                </c:pt>
                <c:pt idx="1">
                  <c:v>0.18680981595092025</c:v>
                </c:pt>
                <c:pt idx="2">
                  <c:v>0.2017413083666289</c:v>
                </c:pt>
                <c:pt idx="3">
                  <c:v>0.19027979043584883</c:v>
                </c:pt>
                <c:pt idx="4">
                  <c:v>0.19766574291195907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80-49EB-B395-6ABB37259685}"/>
            </c:ext>
          </c:extLst>
        </c:ser>
        <c:ser>
          <c:idx val="2"/>
          <c:order val="2"/>
          <c:tx>
            <c:strRef>
              <c:f>'Pivot Tables'!$D$213</c:f>
              <c:strCache>
                <c:ptCount val="1"/>
                <c:pt idx="0">
                  <c:v>Nestle India</c:v>
                </c:pt>
              </c:strCache>
            </c:strRef>
          </c:tx>
          <c:spPr>
            <a:ln w="21960">
              <a:solidFill>
                <a:srgbClr val="9BBB59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rgbClr val="9BBB59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Tables'!$A$214:$A$218</c:f>
              <c:strCache>
                <c:ptCount val="5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  <c:pt idx="4">
                  <c:v>FY2026</c:v>
                </c:pt>
              </c:strCache>
            </c:strRef>
          </c:cat>
          <c:val>
            <c:numRef>
              <c:f>'Pivot Tables'!$D$214:$D$218</c:f>
              <c:numCache>
                <c:formatCode>0.00%</c:formatCode>
                <c:ptCount val="5"/>
                <c:pt idx="0">
                  <c:v>0.23649086679632383</c:v>
                </c:pt>
                <c:pt idx="1">
                  <c:v>0.22566136000473458</c:v>
                </c:pt>
                <c:pt idx="2">
                  <c:v>0.24604410920718209</c:v>
                </c:pt>
                <c:pt idx="3">
                  <c:v>0.24710424710424711</c:v>
                </c:pt>
                <c:pt idx="4">
                  <c:v>0.23411790110127403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80-49EB-B395-6ABB37259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marker val="1"/>
        <c:smooth val="0"/>
        <c:axId val="19705087"/>
        <c:axId val="77387466"/>
      </c:lineChart>
      <c:catAx>
        <c:axId val="19705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387466"/>
        <c:crosses val="autoZero"/>
        <c:auto val="1"/>
        <c:lblAlgn val="ctr"/>
        <c:lblOffset val="100"/>
        <c:noMultiLvlLbl val="0"/>
      </c:catAx>
      <c:valAx>
        <c:axId val="7738746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EBITDA Margin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%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705087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[FMCG_Ratio_Analysis_with_Red_Flags.xlsx]Pivot!PivotTable3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growth across 5 yrs</a:t>
            </a:r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3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5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Pivot!$B$10:$B$11</c:f>
              <c:strCache>
                <c:ptCount val="1"/>
                <c:pt idx="0">
                  <c:v>Sum of FY2022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Pivot!$A$12:$A$15</c:f>
              <c:strCache>
                <c:ptCount val="3"/>
                <c:pt idx="0">
                  <c:v>Britannia Industries</c:v>
                </c:pt>
                <c:pt idx="1">
                  <c:v>Hindustan Unilever</c:v>
                </c:pt>
                <c:pt idx="2">
                  <c:v>Nestle India</c:v>
                </c:pt>
              </c:strCache>
            </c:strRef>
          </c:cat>
          <c:val>
            <c:numRef>
              <c:f>Pivot!$B$12:$B$15</c:f>
              <c:numCache>
                <c:formatCode>General</c:formatCode>
                <c:ptCount val="3"/>
                <c:pt idx="0">
                  <c:v>0.10724391624221841</c:v>
                </c:pt>
                <c:pt idx="1">
                  <c:v>0.16929794455249211</c:v>
                </c:pt>
                <c:pt idx="2">
                  <c:v>0.14368089003459741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FF-4175-AF24-E6A1DB03A8BB}"/>
            </c:ext>
          </c:extLst>
        </c:ser>
        <c:ser>
          <c:idx val="1"/>
          <c:order val="1"/>
          <c:tx>
            <c:strRef>
              <c:f>Pivot!$C$10:$C$11</c:f>
              <c:strCache>
                <c:ptCount val="1"/>
                <c:pt idx="0">
                  <c:v>Sum of FY2023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Pivot!$A$12:$A$15</c:f>
              <c:strCache>
                <c:ptCount val="3"/>
                <c:pt idx="0">
                  <c:v>Britannia Industries</c:v>
                </c:pt>
                <c:pt idx="1">
                  <c:v>Hindustan Unilever</c:v>
                </c:pt>
                <c:pt idx="2">
                  <c:v>Nestle India</c:v>
                </c:pt>
              </c:strCache>
            </c:strRef>
          </c:cat>
          <c:val>
            <c:numRef>
              <c:f>Pivot!$C$12:$C$15</c:f>
              <c:numCache>
                <c:formatCode>0.00%</c:formatCode>
                <c:ptCount val="3"/>
                <c:pt idx="0">
                  <c:v>0.1417177914110429</c:v>
                </c:pt>
                <c:pt idx="1">
                  <c:v>0.16705183228788381</c:v>
                </c:pt>
                <c:pt idx="2">
                  <c:v>0.1415044090666982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FF-4175-AF24-E6A1DB03A8BB}"/>
            </c:ext>
          </c:extLst>
        </c:ser>
        <c:ser>
          <c:idx val="2"/>
          <c:order val="2"/>
          <c:tx>
            <c:strRef>
              <c:f>Pivot!$D$10:$D$11</c:f>
              <c:strCache>
                <c:ptCount val="1"/>
                <c:pt idx="0">
                  <c:v>Sum of FY2024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Pivot!$A$12:$A$15</c:f>
              <c:strCache>
                <c:ptCount val="3"/>
                <c:pt idx="0">
                  <c:v>Britannia Industries</c:v>
                </c:pt>
                <c:pt idx="1">
                  <c:v>Hindustan Unilever</c:v>
                </c:pt>
                <c:pt idx="2">
                  <c:v>Nestle India</c:v>
                </c:pt>
              </c:strCache>
            </c:strRef>
          </c:cat>
          <c:val>
            <c:numRef>
              <c:f>Pivot!$D$12:$D$15</c:f>
              <c:numCache>
                <c:formatCode>0.00%</c:formatCode>
                <c:ptCount val="3"/>
                <c:pt idx="0">
                  <c:v>0.12743753354403961</c:v>
                </c:pt>
                <c:pt idx="1">
                  <c:v>0.16603657748481321</c:v>
                </c:pt>
                <c:pt idx="2">
                  <c:v>0.16122817086168731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FF-4175-AF24-E6A1DB03A8BB}"/>
            </c:ext>
          </c:extLst>
        </c:ser>
        <c:ser>
          <c:idx val="3"/>
          <c:order val="3"/>
          <c:tx>
            <c:strRef>
              <c:f>Pivot!$E$10:$E$11</c:f>
              <c:strCache>
                <c:ptCount val="1"/>
                <c:pt idx="0">
                  <c:v>Sum of FY2025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Ref>
              <c:f>Pivot!$A$12:$A$15</c:f>
              <c:strCache>
                <c:ptCount val="3"/>
                <c:pt idx="0">
                  <c:v>Britannia Industries</c:v>
                </c:pt>
                <c:pt idx="1">
                  <c:v>Hindustan Unilever</c:v>
                </c:pt>
                <c:pt idx="2">
                  <c:v>Nestle India</c:v>
                </c:pt>
              </c:strCache>
            </c:strRef>
          </c:cat>
          <c:val>
            <c:numRef>
              <c:f>Pivot!$E$12:$E$15</c:f>
              <c:numCache>
                <c:formatCode>0.00%</c:formatCode>
                <c:ptCount val="3"/>
                <c:pt idx="0">
                  <c:v>0.1219485007245569</c:v>
                </c:pt>
                <c:pt idx="1">
                  <c:v>0.17364009913905559</c:v>
                </c:pt>
                <c:pt idx="2">
                  <c:v>0.1587961587961588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FF-4175-AF24-E6A1DB03A8BB}"/>
            </c:ext>
          </c:extLst>
        </c:ser>
        <c:ser>
          <c:idx val="4"/>
          <c:order val="4"/>
          <c:tx>
            <c:strRef>
              <c:f>Pivot!$F$10:$F$11</c:f>
              <c:strCache>
                <c:ptCount val="1"/>
                <c:pt idx="0">
                  <c:v>Sum of FY2026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strRef>
              <c:f>Pivot!$A$12:$A$15</c:f>
              <c:strCache>
                <c:ptCount val="3"/>
                <c:pt idx="0">
                  <c:v>Britannia Industries</c:v>
                </c:pt>
                <c:pt idx="1">
                  <c:v>Hindustan Unilever</c:v>
                </c:pt>
                <c:pt idx="2">
                  <c:v>Nestle India</c:v>
                </c:pt>
              </c:strCache>
            </c:strRef>
          </c:cat>
          <c:val>
            <c:numRef>
              <c:f>Pivot!$F$12:$F$15</c:f>
              <c:numCache>
                <c:formatCode>0.00%</c:formatCode>
                <c:ptCount val="3"/>
                <c:pt idx="0">
                  <c:v>0.1365380515881475</c:v>
                </c:pt>
                <c:pt idx="1">
                  <c:v>0.23329403735186449</c:v>
                </c:pt>
                <c:pt idx="2">
                  <c:v>0.15111207082703521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FF-4175-AF24-E6A1DB03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8359984"/>
        <c:axId val="1903470320"/>
      </c:barChart>
      <c:catAx>
        <c:axId val="1908359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company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470320"/>
        <c:crosses val="autoZero"/>
        <c:auto val="1"/>
        <c:lblAlgn val="ctr"/>
        <c:lblOffset val="100"/>
        <c:noMultiLvlLbl val="0"/>
      </c:catAx>
      <c:valAx>
        <c:axId val="19034703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 growth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35998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[FMCG_Ratio_Analysis_with_Red_Flags.xlsx]Pivot!PivotTable4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Net Profit Margin across 5yrs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3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5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Pivot!$B$17</c:f>
              <c:strCache>
                <c:ptCount val="1"/>
                <c:pt idx="0">
                  <c:v>Sum of FY2022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Pivot!$A$18:$A$21</c:f>
              <c:strCache>
                <c:ptCount val="3"/>
                <c:pt idx="0">
                  <c:v>Britannia Industries</c:v>
                </c:pt>
                <c:pt idx="1">
                  <c:v>Hindustan Unilever</c:v>
                </c:pt>
                <c:pt idx="2">
                  <c:v>Nestle India</c:v>
                </c:pt>
              </c:strCache>
            </c:strRef>
          </c:cat>
          <c:val>
            <c:numRef>
              <c:f>Pivot!$B$18:$B$21</c:f>
              <c:numCache>
                <c:formatCode>0%</c:formatCode>
                <c:ptCount val="3"/>
                <c:pt idx="0">
                  <c:v>0.10724391624221841</c:v>
                </c:pt>
                <c:pt idx="1">
                  <c:v>0.16929794455249211</c:v>
                </c:pt>
                <c:pt idx="2">
                  <c:v>0.14368089003459741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AB-4AFB-947E-3F2BD9077080}"/>
            </c:ext>
          </c:extLst>
        </c:ser>
        <c:ser>
          <c:idx val="1"/>
          <c:order val="1"/>
          <c:tx>
            <c:strRef>
              <c:f>Pivot!$C$17</c:f>
              <c:strCache>
                <c:ptCount val="1"/>
                <c:pt idx="0">
                  <c:v>Sum of FY2023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Pivot!$A$18:$A$21</c:f>
              <c:strCache>
                <c:ptCount val="3"/>
                <c:pt idx="0">
                  <c:v>Britannia Industries</c:v>
                </c:pt>
                <c:pt idx="1">
                  <c:v>Hindustan Unilever</c:v>
                </c:pt>
                <c:pt idx="2">
                  <c:v>Nestle India</c:v>
                </c:pt>
              </c:strCache>
            </c:strRef>
          </c:cat>
          <c:val>
            <c:numRef>
              <c:f>Pivot!$C$18:$C$21</c:f>
              <c:numCache>
                <c:formatCode>0%</c:formatCode>
                <c:ptCount val="3"/>
                <c:pt idx="0">
                  <c:v>0.1417177914110429</c:v>
                </c:pt>
                <c:pt idx="1">
                  <c:v>0.16705183228788381</c:v>
                </c:pt>
                <c:pt idx="2">
                  <c:v>0.1415044090666982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AB-4AFB-947E-3F2BD9077080}"/>
            </c:ext>
          </c:extLst>
        </c:ser>
        <c:ser>
          <c:idx val="2"/>
          <c:order val="2"/>
          <c:tx>
            <c:strRef>
              <c:f>Pivot!$D$17</c:f>
              <c:strCache>
                <c:ptCount val="1"/>
                <c:pt idx="0">
                  <c:v>Sum of FY2024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Pivot!$A$18:$A$21</c:f>
              <c:strCache>
                <c:ptCount val="3"/>
                <c:pt idx="0">
                  <c:v>Britannia Industries</c:v>
                </c:pt>
                <c:pt idx="1">
                  <c:v>Hindustan Unilever</c:v>
                </c:pt>
                <c:pt idx="2">
                  <c:v>Nestle India</c:v>
                </c:pt>
              </c:strCache>
            </c:strRef>
          </c:cat>
          <c:val>
            <c:numRef>
              <c:f>Pivot!$D$18:$D$21</c:f>
              <c:numCache>
                <c:formatCode>0%</c:formatCode>
                <c:ptCount val="3"/>
                <c:pt idx="0">
                  <c:v>0.12743753354403961</c:v>
                </c:pt>
                <c:pt idx="1">
                  <c:v>0.16603657748481321</c:v>
                </c:pt>
                <c:pt idx="2">
                  <c:v>0.16122817086168731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AB-4AFB-947E-3F2BD9077080}"/>
            </c:ext>
          </c:extLst>
        </c:ser>
        <c:ser>
          <c:idx val="3"/>
          <c:order val="3"/>
          <c:tx>
            <c:strRef>
              <c:f>Pivot!$E$17</c:f>
              <c:strCache>
                <c:ptCount val="1"/>
                <c:pt idx="0">
                  <c:v>Sum of FY2025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Ref>
              <c:f>Pivot!$A$18:$A$21</c:f>
              <c:strCache>
                <c:ptCount val="3"/>
                <c:pt idx="0">
                  <c:v>Britannia Industries</c:v>
                </c:pt>
                <c:pt idx="1">
                  <c:v>Hindustan Unilever</c:v>
                </c:pt>
                <c:pt idx="2">
                  <c:v>Nestle India</c:v>
                </c:pt>
              </c:strCache>
            </c:strRef>
          </c:cat>
          <c:val>
            <c:numRef>
              <c:f>Pivot!$E$18:$E$21</c:f>
              <c:numCache>
                <c:formatCode>0%</c:formatCode>
                <c:ptCount val="3"/>
                <c:pt idx="0">
                  <c:v>0.1219485007245569</c:v>
                </c:pt>
                <c:pt idx="1">
                  <c:v>0.17364009913905559</c:v>
                </c:pt>
                <c:pt idx="2">
                  <c:v>0.1587961587961588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AB-4AFB-947E-3F2BD9077080}"/>
            </c:ext>
          </c:extLst>
        </c:ser>
        <c:ser>
          <c:idx val="4"/>
          <c:order val="4"/>
          <c:tx>
            <c:strRef>
              <c:f>Pivot!$F$17</c:f>
              <c:strCache>
                <c:ptCount val="1"/>
                <c:pt idx="0">
                  <c:v>Sum of FY2026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strRef>
              <c:f>Pivot!$A$18:$A$21</c:f>
              <c:strCache>
                <c:ptCount val="3"/>
                <c:pt idx="0">
                  <c:v>Britannia Industries</c:v>
                </c:pt>
                <c:pt idx="1">
                  <c:v>Hindustan Unilever</c:v>
                </c:pt>
                <c:pt idx="2">
                  <c:v>Nestle India</c:v>
                </c:pt>
              </c:strCache>
            </c:strRef>
          </c:cat>
          <c:val>
            <c:numRef>
              <c:f>Pivot!$F$18:$F$21</c:f>
              <c:numCache>
                <c:formatCode>0%</c:formatCode>
                <c:ptCount val="3"/>
                <c:pt idx="0">
                  <c:v>0.1365380515881475</c:v>
                </c:pt>
                <c:pt idx="1">
                  <c:v>0.23329403735186449</c:v>
                </c:pt>
                <c:pt idx="2">
                  <c:v>0.15111207082703521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AB-4AFB-947E-3F2BD9077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9974496"/>
        <c:axId val="1903554800"/>
      </c:barChart>
      <c:catAx>
        <c:axId val="190997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company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554800"/>
        <c:crosses val="autoZero"/>
        <c:auto val="1"/>
        <c:lblAlgn val="ctr"/>
        <c:lblOffset val="100"/>
        <c:noMultiLvlLbl val="0"/>
      </c:catAx>
      <c:valAx>
        <c:axId val="19035548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Net profit Margin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97449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[FMCG_Ratio_Analysis_with_Red_Flags.xlsx]Pivot!PivotTable6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ROE across % yrs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3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5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Pivot!$B$24</c:f>
              <c:strCache>
                <c:ptCount val="1"/>
                <c:pt idx="0">
                  <c:v>Sum of FY2022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Pivot!$A$25:$A$28</c:f>
              <c:strCache>
                <c:ptCount val="3"/>
                <c:pt idx="0">
                  <c:v>Britannia Industries</c:v>
                </c:pt>
                <c:pt idx="1">
                  <c:v>Hindustan Unilever</c:v>
                </c:pt>
                <c:pt idx="2">
                  <c:v>Nestle India</c:v>
                </c:pt>
              </c:strCache>
            </c:strRef>
          </c:cat>
          <c:val>
            <c:numRef>
              <c:f>Pivot!$B$25:$B$28</c:f>
              <c:numCache>
                <c:formatCode>0.00%</c:formatCode>
                <c:ptCount val="3"/>
                <c:pt idx="0">
                  <c:v>0.59265050820953868</c:v>
                </c:pt>
                <c:pt idx="1">
                  <c:v>0.18088292215861629</c:v>
                </c:pt>
                <c:pt idx="2">
                  <c:v>1.088386433710175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F3-41A7-8951-88C3893A632B}"/>
            </c:ext>
          </c:extLst>
        </c:ser>
        <c:ser>
          <c:idx val="1"/>
          <c:order val="1"/>
          <c:tx>
            <c:strRef>
              <c:f>Pivot!$C$24</c:f>
              <c:strCache>
                <c:ptCount val="1"/>
                <c:pt idx="0">
                  <c:v>Sum of FY2023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Pivot!$A$25:$A$28</c:f>
              <c:strCache>
                <c:ptCount val="3"/>
                <c:pt idx="0">
                  <c:v>Britannia Industries</c:v>
                </c:pt>
                <c:pt idx="1">
                  <c:v>Hindustan Unilever</c:v>
                </c:pt>
                <c:pt idx="2">
                  <c:v>Nestle India</c:v>
                </c:pt>
              </c:strCache>
            </c:strRef>
          </c:cat>
          <c:val>
            <c:numRef>
              <c:f>Pivot!$C$25:$C$28</c:f>
              <c:numCache>
                <c:formatCode>0.00%</c:formatCode>
                <c:ptCount val="3"/>
                <c:pt idx="0">
                  <c:v>0.65365025466893034</c:v>
                </c:pt>
                <c:pt idx="1">
                  <c:v>0.20030877637464869</c:v>
                </c:pt>
                <c:pt idx="2">
                  <c:v>0.97234648230988208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F3-41A7-8951-88C3893A632B}"/>
            </c:ext>
          </c:extLst>
        </c:ser>
        <c:ser>
          <c:idx val="2"/>
          <c:order val="2"/>
          <c:tx>
            <c:strRef>
              <c:f>Pivot!$D$24</c:f>
              <c:strCache>
                <c:ptCount val="1"/>
                <c:pt idx="0">
                  <c:v>Sum of FY2024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Pivot!$A$25:$A$28</c:f>
              <c:strCache>
                <c:ptCount val="3"/>
                <c:pt idx="0">
                  <c:v>Britannia Industries</c:v>
                </c:pt>
                <c:pt idx="1">
                  <c:v>Hindustan Unilever</c:v>
                </c:pt>
                <c:pt idx="2">
                  <c:v>Nestle India</c:v>
                </c:pt>
              </c:strCache>
            </c:strRef>
          </c:cat>
          <c:val>
            <c:numRef>
              <c:f>Pivot!$D$25:$D$28</c:f>
              <c:numCache>
                <c:formatCode>0.00%</c:formatCode>
                <c:ptCount val="3"/>
                <c:pt idx="0">
                  <c:v>0.54211060375443942</c:v>
                </c:pt>
                <c:pt idx="1">
                  <c:v>0.1998522062112284</c:v>
                </c:pt>
                <c:pt idx="2">
                  <c:v>1.177192457348099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F3-41A7-8951-88C3893A632B}"/>
            </c:ext>
          </c:extLst>
        </c:ser>
        <c:ser>
          <c:idx val="3"/>
          <c:order val="3"/>
          <c:tx>
            <c:strRef>
              <c:f>Pivot!$E$24</c:f>
              <c:strCache>
                <c:ptCount val="1"/>
                <c:pt idx="0">
                  <c:v>Sum of FY2025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Ref>
              <c:f>Pivot!$A$25:$A$28</c:f>
              <c:strCache>
                <c:ptCount val="3"/>
                <c:pt idx="0">
                  <c:v>Britannia Industries</c:v>
                </c:pt>
                <c:pt idx="1">
                  <c:v>Hindustan Unilever</c:v>
                </c:pt>
                <c:pt idx="2">
                  <c:v>Nestle India</c:v>
                </c:pt>
              </c:strCache>
            </c:strRef>
          </c:cat>
          <c:val>
            <c:numRef>
              <c:f>Pivot!$E$25:$E$28</c:f>
              <c:numCache>
                <c:formatCode>0.00%</c:formatCode>
                <c:ptCount val="3"/>
                <c:pt idx="0">
                  <c:v>0.50229568411386594</c:v>
                </c:pt>
                <c:pt idx="1">
                  <c:v>0.21465863049043521</c:v>
                </c:pt>
                <c:pt idx="2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F3-41A7-8951-88C3893A632B}"/>
            </c:ext>
          </c:extLst>
        </c:ser>
        <c:ser>
          <c:idx val="4"/>
          <c:order val="4"/>
          <c:tx>
            <c:strRef>
              <c:f>Pivot!$F$24</c:f>
              <c:strCache>
                <c:ptCount val="1"/>
                <c:pt idx="0">
                  <c:v>Sum of FY2026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strRef>
              <c:f>Pivot!$A$25:$A$28</c:f>
              <c:strCache>
                <c:ptCount val="3"/>
                <c:pt idx="0">
                  <c:v>Britannia Industries</c:v>
                </c:pt>
                <c:pt idx="1">
                  <c:v>Hindustan Unilever</c:v>
                </c:pt>
                <c:pt idx="2">
                  <c:v>Nestle India</c:v>
                </c:pt>
              </c:strCache>
            </c:strRef>
          </c:cat>
          <c:val>
            <c:numRef>
              <c:f>Pivot!$F$25:$F$28</c:f>
              <c:numCache>
                <c:formatCode>0.00%</c:formatCode>
                <c:ptCount val="3"/>
                <c:pt idx="0">
                  <c:v>0.50166438222048171</c:v>
                </c:pt>
                <c:pt idx="1">
                  <c:v>0.30688867123734898</c:v>
                </c:pt>
                <c:pt idx="2">
                  <c:v>0.67849524917587745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F3-41A7-8951-88C3893A6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4016992"/>
        <c:axId val="1903503440"/>
      </c:barChart>
      <c:catAx>
        <c:axId val="1924016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Company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503440"/>
        <c:crosses val="autoZero"/>
        <c:auto val="1"/>
        <c:lblAlgn val="ctr"/>
        <c:lblOffset val="100"/>
        <c:noMultiLvlLbl val="0"/>
      </c:catAx>
      <c:valAx>
        <c:axId val="19035034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ROE</a:t>
                </a:r>
                <a:r>
                  <a:rPr lang="en-IN" baseline="0"/>
                  <a:t> (%)</a:t>
                </a:r>
                <a:endParaRPr lang="en-IN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016992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[FMCG_Ratio_Analysis_with_Red_Flags.xlsx]Pivot!PivotTable8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Debt-to-equity ratio across 5 yrs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3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5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Pivot!$B$31</c:f>
              <c:strCache>
                <c:ptCount val="1"/>
                <c:pt idx="0">
                  <c:v>Sum of FY2022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Pivot!$A$32:$A$35</c:f>
              <c:strCache>
                <c:ptCount val="3"/>
                <c:pt idx="0">
                  <c:v>Britannia Industries</c:v>
                </c:pt>
                <c:pt idx="1">
                  <c:v>Hindustan Unilever</c:v>
                </c:pt>
                <c:pt idx="2">
                  <c:v>Nestle India</c:v>
                </c:pt>
              </c:strCache>
            </c:strRef>
          </c:cat>
          <c:val>
            <c:numRef>
              <c:f>Pivot!$B$32:$B$35</c:f>
              <c:numCache>
                <c:formatCode>0.00</c:formatCode>
                <c:ptCount val="3"/>
                <c:pt idx="0">
                  <c:v>0.96403440187646594</c:v>
                </c:pt>
                <c:pt idx="1">
                  <c:v>1.5706806282722509E-2</c:v>
                </c:pt>
                <c:pt idx="2">
                  <c:v>0.1366906474820144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5F-436D-9C7F-198D2500E45B}"/>
            </c:ext>
          </c:extLst>
        </c:ser>
        <c:ser>
          <c:idx val="1"/>
          <c:order val="1"/>
          <c:tx>
            <c:strRef>
              <c:f>Pivot!$C$31</c:f>
              <c:strCache>
                <c:ptCount val="1"/>
                <c:pt idx="0">
                  <c:v>Sum of FY2023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Pivot!$A$32:$A$35</c:f>
              <c:strCache>
                <c:ptCount val="3"/>
                <c:pt idx="0">
                  <c:v>Britannia Industries</c:v>
                </c:pt>
                <c:pt idx="1">
                  <c:v>Hindustan Unilever</c:v>
                </c:pt>
                <c:pt idx="2">
                  <c:v>Nestle India</c:v>
                </c:pt>
              </c:strCache>
            </c:strRef>
          </c:cat>
          <c:val>
            <c:numRef>
              <c:f>Pivot!$C$32:$C$35</c:f>
              <c:numCache>
                <c:formatCode>0.00</c:formatCode>
                <c:ptCount val="3"/>
                <c:pt idx="0">
                  <c:v>0.84352009054895305</c:v>
                </c:pt>
                <c:pt idx="1">
                  <c:v>1.6784767032184001E-2</c:v>
                </c:pt>
                <c:pt idx="2">
                  <c:v>0.1102074013826759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5F-436D-9C7F-198D2500E45B}"/>
            </c:ext>
          </c:extLst>
        </c:ser>
        <c:ser>
          <c:idx val="2"/>
          <c:order val="2"/>
          <c:tx>
            <c:strRef>
              <c:f>Pivot!$D$31</c:f>
              <c:strCache>
                <c:ptCount val="1"/>
                <c:pt idx="0">
                  <c:v>Sum of FY2024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Pivot!$A$32:$A$35</c:f>
              <c:strCache>
                <c:ptCount val="3"/>
                <c:pt idx="0">
                  <c:v>Britannia Industries</c:v>
                </c:pt>
                <c:pt idx="1">
                  <c:v>Hindustan Unilever</c:v>
                </c:pt>
                <c:pt idx="2">
                  <c:v>Nestle India</c:v>
                </c:pt>
              </c:strCache>
            </c:strRef>
          </c:cat>
          <c:val>
            <c:numRef>
              <c:f>Pivot!$D$32:$D$35</c:f>
              <c:numCache>
                <c:formatCode>0.00</c:formatCode>
                <c:ptCount val="3"/>
                <c:pt idx="0">
                  <c:v>0.51775748351090822</c:v>
                </c:pt>
                <c:pt idx="1">
                  <c:v>2.2246854520350811E-2</c:v>
                </c:pt>
                <c:pt idx="2">
                  <c:v>0.1032624962586052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5F-436D-9C7F-198D2500E45B}"/>
            </c:ext>
          </c:extLst>
        </c:ser>
        <c:ser>
          <c:idx val="3"/>
          <c:order val="3"/>
          <c:tx>
            <c:strRef>
              <c:f>Pivot!$E$31</c:f>
              <c:strCache>
                <c:ptCount val="1"/>
                <c:pt idx="0">
                  <c:v>Sum of FY2025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Ref>
              <c:f>Pivot!$A$32:$A$35</c:f>
              <c:strCache>
                <c:ptCount val="3"/>
                <c:pt idx="0">
                  <c:v>Britannia Industries</c:v>
                </c:pt>
                <c:pt idx="1">
                  <c:v>Hindustan Unilever</c:v>
                </c:pt>
                <c:pt idx="2">
                  <c:v>Nestle India</c:v>
                </c:pt>
              </c:strCache>
            </c:strRef>
          </c:cat>
          <c:val>
            <c:numRef>
              <c:f>Pivot!$E$32:$E$35</c:f>
              <c:numCache>
                <c:formatCode>0.00</c:formatCode>
                <c:ptCount val="3"/>
                <c:pt idx="0">
                  <c:v>0.2812213039485767</c:v>
                </c:pt>
                <c:pt idx="1">
                  <c:v>2.5882400370900439E-2</c:v>
                </c:pt>
                <c:pt idx="2">
                  <c:v>0.29102244389027432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5F-436D-9C7F-198D2500E45B}"/>
            </c:ext>
          </c:extLst>
        </c:ser>
        <c:ser>
          <c:idx val="4"/>
          <c:order val="4"/>
          <c:tx>
            <c:strRef>
              <c:f>Pivot!$F$31</c:f>
              <c:strCache>
                <c:ptCount val="1"/>
                <c:pt idx="0">
                  <c:v>Sum of FY2026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strRef>
              <c:f>Pivot!$A$32:$A$35</c:f>
              <c:strCache>
                <c:ptCount val="3"/>
                <c:pt idx="0">
                  <c:v>Britannia Industries</c:v>
                </c:pt>
                <c:pt idx="1">
                  <c:v>Hindustan Unilever</c:v>
                </c:pt>
                <c:pt idx="2">
                  <c:v>Nestle India</c:v>
                </c:pt>
              </c:strCache>
            </c:strRef>
          </c:cat>
          <c:val>
            <c:numRef>
              <c:f>Pivot!$F$32:$F$35</c:f>
              <c:numCache>
                <c:formatCode>0.00</c:formatCode>
                <c:ptCount val="3"/>
                <c:pt idx="0">
                  <c:v>0.26590953593107503</c:v>
                </c:pt>
                <c:pt idx="1">
                  <c:v>2.3281913157035591E-2</c:v>
                </c:pt>
                <c:pt idx="2">
                  <c:v>8.6096567771960439E-2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5F-436D-9C7F-198D2500E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8376688"/>
        <c:axId val="1903442000"/>
      </c:barChart>
      <c:catAx>
        <c:axId val="1908376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Company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442000"/>
        <c:crosses val="autoZero"/>
        <c:auto val="1"/>
        <c:lblAlgn val="ctr"/>
        <c:lblOffset val="100"/>
        <c:noMultiLvlLbl val="0"/>
      </c:catAx>
      <c:valAx>
        <c:axId val="19034420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Debt to Equity Ratio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37668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(Rs. Crore) Trend, FY2022-FY2026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Tables'!$B$186</c:f>
              <c:strCache>
                <c:ptCount val="1"/>
                <c:pt idx="0">
                  <c:v>Hindustan Unilever</c:v>
                </c:pt>
              </c:strCache>
            </c:strRef>
          </c:tx>
          <c:spPr>
            <a:ln w="21960">
              <a:solidFill>
                <a:srgbClr val="4F81BD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rgbClr val="4F81BD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Tables'!$A$187:$A$191</c:f>
              <c:strCache>
                <c:ptCount val="5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  <c:pt idx="4">
                  <c:v>FY2026</c:v>
                </c:pt>
              </c:strCache>
            </c:strRef>
          </c:cat>
          <c:val>
            <c:numRef>
              <c:f>'Pivot Tables'!$B$187:$B$191</c:f>
              <c:numCache>
                <c:formatCode>General</c:formatCode>
                <c:ptCount val="5"/>
                <c:pt idx="0">
                  <c:v>52446</c:v>
                </c:pt>
                <c:pt idx="1">
                  <c:v>60580</c:v>
                </c:pt>
                <c:pt idx="2">
                  <c:v>61896</c:v>
                </c:pt>
                <c:pt idx="3">
                  <c:v>61328</c:v>
                </c:pt>
                <c:pt idx="4">
                  <c:v>64468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4C-4817-A721-29D84AD3BB8B}"/>
            </c:ext>
          </c:extLst>
        </c:ser>
        <c:ser>
          <c:idx val="1"/>
          <c:order val="1"/>
          <c:tx>
            <c:strRef>
              <c:f>'Pivot Tables'!$C$186</c:f>
              <c:strCache>
                <c:ptCount val="1"/>
                <c:pt idx="0">
                  <c:v>Britannia Industries</c:v>
                </c:pt>
              </c:strCache>
            </c:strRef>
          </c:tx>
          <c:spPr>
            <a:ln w="21960">
              <a:solidFill>
                <a:srgbClr val="C0504D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rgbClr val="C0504D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Tables'!$A$187:$A$191</c:f>
              <c:strCache>
                <c:ptCount val="5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  <c:pt idx="4">
                  <c:v>FY2026</c:v>
                </c:pt>
              </c:strCache>
            </c:strRef>
          </c:cat>
          <c:val>
            <c:numRef>
              <c:f>'Pivot Tables'!$C$187:$C$191</c:f>
              <c:numCache>
                <c:formatCode>General</c:formatCode>
                <c:ptCount val="5"/>
                <c:pt idx="0">
                  <c:v>14136</c:v>
                </c:pt>
                <c:pt idx="1">
                  <c:v>16300</c:v>
                </c:pt>
                <c:pt idx="2">
                  <c:v>16769</c:v>
                </c:pt>
                <c:pt idx="3">
                  <c:v>17942</c:v>
                </c:pt>
                <c:pt idx="4">
                  <c:v>18764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4C-4817-A721-29D84AD3BB8B}"/>
            </c:ext>
          </c:extLst>
        </c:ser>
        <c:ser>
          <c:idx val="2"/>
          <c:order val="2"/>
          <c:tx>
            <c:strRef>
              <c:f>'Pivot Tables'!$D$186</c:f>
              <c:strCache>
                <c:ptCount val="1"/>
                <c:pt idx="0">
                  <c:v>Nestle India</c:v>
                </c:pt>
              </c:strCache>
            </c:strRef>
          </c:tx>
          <c:spPr>
            <a:ln w="21960">
              <a:solidFill>
                <a:srgbClr val="9BBB59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rgbClr val="9BBB59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Tables'!$A$187:$A$191</c:f>
              <c:strCache>
                <c:ptCount val="5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  <c:pt idx="4">
                  <c:v>FY2026</c:v>
                </c:pt>
              </c:strCache>
            </c:strRef>
          </c:cat>
          <c:val>
            <c:numRef>
              <c:f>'Pivot Tables'!$D$187:$D$191</c:f>
              <c:numCache>
                <c:formatCode>General</c:formatCode>
                <c:ptCount val="5"/>
                <c:pt idx="0">
                  <c:v>14741</c:v>
                </c:pt>
                <c:pt idx="1">
                  <c:v>16897</c:v>
                </c:pt>
                <c:pt idx="2">
                  <c:v>24394</c:v>
                </c:pt>
                <c:pt idx="3">
                  <c:v>20202</c:v>
                </c:pt>
                <c:pt idx="4">
                  <c:v>23155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4C-4817-A721-29D84AD3B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marker val="1"/>
        <c:smooth val="0"/>
        <c:axId val="88569245"/>
        <c:axId val="7627160"/>
      </c:lineChart>
      <c:catAx>
        <c:axId val="885692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27160"/>
        <c:crosses val="autoZero"/>
        <c:auto val="1"/>
        <c:lblAlgn val="ctr"/>
        <c:lblOffset val="100"/>
        <c:noMultiLvlLbl val="0"/>
      </c:catAx>
      <c:valAx>
        <c:axId val="762716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Rs. Crore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569245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image" Target="../media/image1.png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176040</xdr:rowOff>
    </xdr:from>
    <xdr:to>
      <xdr:col>11</xdr:col>
      <xdr:colOff>364680</xdr:colOff>
      <xdr:row>20</xdr:row>
      <xdr:rowOff>177120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22</xdr:row>
      <xdr:rowOff>176040</xdr:rowOff>
    </xdr:from>
    <xdr:to>
      <xdr:col>11</xdr:col>
      <xdr:colOff>364680</xdr:colOff>
      <xdr:row>39</xdr:row>
      <xdr:rowOff>177120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129540</xdr:colOff>
      <xdr:row>41</xdr:row>
      <xdr:rowOff>15660</xdr:rowOff>
    </xdr:from>
    <xdr:to>
      <xdr:col>11</xdr:col>
      <xdr:colOff>357060</xdr:colOff>
      <xdr:row>58</xdr:row>
      <xdr:rowOff>17100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99391</xdr:colOff>
      <xdr:row>40</xdr:row>
      <xdr:rowOff>109419</xdr:rowOff>
    </xdr:from>
    <xdr:to>
      <xdr:col>22</xdr:col>
      <xdr:colOff>464071</xdr:colOff>
      <xdr:row>57</xdr:row>
      <xdr:rowOff>110499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82826</xdr:colOff>
      <xdr:row>22</xdr:row>
      <xdr:rowOff>142909</xdr:rowOff>
    </xdr:from>
    <xdr:to>
      <xdr:col>22</xdr:col>
      <xdr:colOff>447506</xdr:colOff>
      <xdr:row>39</xdr:row>
      <xdr:rowOff>143988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91722</xdr:colOff>
      <xdr:row>12</xdr:row>
      <xdr:rowOff>93307</xdr:rowOff>
    </xdr:from>
    <xdr:to>
      <xdr:col>9</xdr:col>
      <xdr:colOff>444759</xdr:colOff>
      <xdr:row>27</xdr:row>
      <xdr:rowOff>93307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158931</xdr:colOff>
      <xdr:row>12</xdr:row>
      <xdr:rowOff>43855</xdr:rowOff>
    </xdr:from>
    <xdr:to>
      <xdr:col>17</xdr:col>
      <xdr:colOff>460621</xdr:colOff>
      <xdr:row>27</xdr:row>
      <xdr:rowOff>43854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76977</xdr:colOff>
      <xdr:row>29</xdr:row>
      <xdr:rowOff>0</xdr:rowOff>
    </xdr:from>
    <xdr:to>
      <xdr:col>9</xdr:col>
      <xdr:colOff>378667</xdr:colOff>
      <xdr:row>44</xdr:row>
      <xdr:rowOff>30169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102637</xdr:colOff>
      <xdr:row>28</xdr:row>
      <xdr:rowOff>177127</xdr:rowOff>
    </xdr:from>
    <xdr:to>
      <xdr:col>17</xdr:col>
      <xdr:colOff>404326</xdr:colOff>
      <xdr:row>43</xdr:row>
      <xdr:rowOff>177126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0</xdr:colOff>
      <xdr:row>46</xdr:row>
      <xdr:rowOff>0</xdr:rowOff>
    </xdr:from>
    <xdr:to>
      <xdr:col>9</xdr:col>
      <xdr:colOff>381000</xdr:colOff>
      <xdr:row>61</xdr:row>
      <xdr:rowOff>70556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</xdr:col>
      <xdr:colOff>49161</xdr:colOff>
      <xdr:row>1</xdr:row>
      <xdr:rowOff>159774</xdr:rowOff>
    </xdr:from>
    <xdr:to>
      <xdr:col>17</xdr:col>
      <xdr:colOff>503903</xdr:colOff>
      <xdr:row>11</xdr:row>
      <xdr:rowOff>68977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952E1F2-23B1-C0AF-07D2-6069D525A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8193" y="749709"/>
          <a:ext cx="9672484" cy="1752752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jal Bansal" refreshedDate="46281.396056018522" createdVersion="8" refreshedVersion="8" minRefreshableVersion="3" recordCount="3" xr:uid="{00000000-000A-0000-FFFF-FFFF14000000}">
  <cacheSource type="worksheet">
    <worksheetSource ref="A28:F31" sheet="Ratio Comparison"/>
  </cacheSource>
  <cacheFields count="6">
    <cacheField name="Company" numFmtId="0">
      <sharedItems count="3">
        <s v="Hindustan Unilever"/>
        <s v="Britannia Industries"/>
        <s v="Nestle India"/>
      </sharedItems>
    </cacheField>
    <cacheField name="FY2022" numFmtId="9">
      <sharedItems containsSemiMixedTypes="0" containsString="0" containsNumber="1" minValue="0.10724391624221841" maxValue="0.16929794455249211"/>
    </cacheField>
    <cacheField name="FY2023" numFmtId="9">
      <sharedItems containsSemiMixedTypes="0" containsString="0" containsNumber="1" minValue="0.1415044090666982" maxValue="0.16705183228788381"/>
    </cacheField>
    <cacheField name="FY2024" numFmtId="9">
      <sharedItems containsSemiMixedTypes="0" containsString="0" containsNumber="1" minValue="0.12743753354403961" maxValue="0.16603657748481321"/>
    </cacheField>
    <cacheField name="FY2025" numFmtId="9">
      <sharedItems containsSemiMixedTypes="0" containsString="0" containsNumber="1" minValue="0.1219485007245569" maxValue="0.17364009913905559"/>
    </cacheField>
    <cacheField name="FY2026" numFmtId="9">
      <sharedItems containsSemiMixedTypes="0" containsString="0" containsNumber="1" minValue="0.1365380515881475" maxValue="0.233294037351864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jal Bansal" refreshedDate="46281.398887037038" createdVersion="8" refreshedVersion="8" minRefreshableVersion="3" recordCount="3" xr:uid="{00000000-000A-0000-FFFF-FFFF18000000}">
  <cacheSource type="worksheet">
    <worksheetSource ref="A34:F37" sheet="Ratio Comparison"/>
  </cacheSource>
  <cacheFields count="6">
    <cacheField name="Company" numFmtId="0">
      <sharedItems count="3">
        <s v="Hindustan Unilever"/>
        <s v="Britannia Industries"/>
        <s v="Nestle India"/>
      </sharedItems>
    </cacheField>
    <cacheField name="FY2022" numFmtId="10">
      <sharedItems containsSemiMixedTypes="0" containsString="0" containsNumber="1" minValue="0.18088292215861629" maxValue="1.088386433710175"/>
    </cacheField>
    <cacheField name="FY2023" numFmtId="10">
      <sharedItems containsSemiMixedTypes="0" containsString="0" containsNumber="1" minValue="0.20030877637464869" maxValue="0.97234648230988208"/>
    </cacheField>
    <cacheField name="FY2024" numFmtId="10">
      <sharedItems containsSemiMixedTypes="0" containsString="0" containsNumber="1" minValue="0.1998522062112284" maxValue="1.177192457348099"/>
    </cacheField>
    <cacheField name="FY2025" numFmtId="10">
      <sharedItems containsSemiMixedTypes="0" containsString="0" containsNumber="1" minValue="0.21465863049043521" maxValue="0.8"/>
    </cacheField>
    <cacheField name="FY2026" numFmtId="10">
      <sharedItems containsSemiMixedTypes="0" containsString="0" containsNumber="1" minValue="0.30688867123734898" maxValue="0.678495249175877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jal Bansal" refreshedDate="46281.404927314812" createdVersion="8" refreshedVersion="8" minRefreshableVersion="3" recordCount="3" xr:uid="{00000000-000A-0000-FFFF-FFFF21000000}">
  <cacheSource type="worksheet">
    <worksheetSource ref="A52:F55" sheet="Ratio Comparison"/>
  </cacheSource>
  <cacheFields count="6">
    <cacheField name="Company" numFmtId="0">
      <sharedItems count="3">
        <s v="Hindustan Unilever"/>
        <s v="Britannia Industries"/>
        <s v="Nestle India"/>
      </sharedItems>
    </cacheField>
    <cacheField name="FY2022" numFmtId="0">
      <sharedItems containsSemiMixedTypes="0" containsString="0" containsNumber="1" minValue="1.5706806282722509E-2" maxValue="0.96403440187646594" count="3">
        <n v="1.5706806282722509E-2"/>
        <n v="0.96403440187646594"/>
        <n v="0.1366906474820144"/>
      </sharedItems>
    </cacheField>
    <cacheField name="FY2023" numFmtId="0">
      <sharedItems containsSemiMixedTypes="0" containsString="0" containsNumber="1" minValue="1.6784767032184001E-2" maxValue="0.84352009054895305"/>
    </cacheField>
    <cacheField name="FY2024" numFmtId="0">
      <sharedItems containsSemiMixedTypes="0" containsString="0" containsNumber="1" minValue="2.2246854520350811E-2" maxValue="0.51775748351090822"/>
    </cacheField>
    <cacheField name="FY2025" numFmtId="0">
      <sharedItems containsSemiMixedTypes="0" containsString="0" containsNumber="1" minValue="2.5882400370900439E-2" maxValue="0.29102244389027432"/>
    </cacheField>
    <cacheField name="FY2026" numFmtId="0">
      <sharedItems containsSemiMixedTypes="0" containsString="0" containsNumber="1" minValue="2.3281913157035591E-2" maxValue="0.265909535931075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jal Bansal" refreshedDate="46281.390505324067" createdVersion="8" refreshedVersion="8" minRefreshableVersion="3" recordCount="3" xr:uid="{00000000-000A-0000-FFFF-FFFF0F000000}">
  <cacheSource type="worksheet">
    <worksheetSource ref="A10:F13" sheet="Ratio Comparison"/>
  </cacheSource>
  <cacheFields count="6">
    <cacheField name="Company" numFmtId="0">
      <sharedItems count="3">
        <s v="Hindustan Unilever"/>
        <s v="Britannia Industries"/>
        <s v="Nestle India"/>
      </sharedItems>
    </cacheField>
    <cacheField name="FY2022" numFmtId="0">
      <sharedItems containsMixedTypes="1" containsNumber="1" minValue="0.10724391624221841" maxValue="0.16929794455249211" count="4">
        <s v="n/a"/>
        <n v="0.16929794455249211"/>
        <n v="0.10724391624221841"/>
        <n v="0.14368089003459741"/>
      </sharedItems>
    </cacheField>
    <cacheField name="FY2023" numFmtId="10">
      <sharedItems containsSemiMixedTypes="0" containsString="0" containsNumber="1" minValue="0.1415044090666982" maxValue="0.16705183228788381" count="6">
        <n v="0.15509285741524609"/>
        <n v="0.15308432371250699"/>
        <n v="0.14625873414286689"/>
        <n v="0.16705183228788381"/>
        <n v="0.1417177914110429"/>
        <n v="0.1415044090666982"/>
      </sharedItems>
    </cacheField>
    <cacheField name="FY2024" numFmtId="10">
      <sharedItems containsSemiMixedTypes="0" containsString="0" containsNumber="1" minValue="2.1723341036645749E-2" maxValue="0.4436882286796473" count="6">
        <n v="2.1723341036645749E-2"/>
        <n v="2.8773006134969359E-2"/>
        <n v="0.4436882286796473"/>
        <n v="0.16603657748481321"/>
        <n v="0.12743753354403961"/>
        <n v="0.16122817086168731"/>
      </sharedItems>
    </cacheField>
    <cacheField name="FY2025" numFmtId="10">
      <sharedItems containsSemiMixedTypes="0" containsString="0" containsNumber="1" minValue="-0.17184553578748871" maxValue="0.17364009913905559" count="6">
        <n v="-9.1766834690448773E-3"/>
        <n v="6.9950503906017092E-2"/>
        <n v="-0.17184553578748871"/>
        <n v="0.17364009913905559"/>
        <n v="0.1219485007245569"/>
        <n v="0.1587961587961588"/>
      </sharedItems>
    </cacheField>
    <cacheField name="FY2026" numFmtId="10">
      <sharedItems containsSemiMixedTypes="0" containsString="0" containsNumber="1" minValue="4.581429049158392E-2" maxValue="0.23329403735186449" count="6">
        <n v="5.1200104356900589E-2"/>
        <n v="4.581429049158392E-2"/>
        <n v="0.14617364617364631"/>
        <n v="0.23329403735186449"/>
        <n v="0.1365380515881475"/>
        <n v="0.15111207082703521"/>
      </sharedItems>
    </cacheField>
  </cacheFields>
  <extLst>
    <ext xmlns:x14="http://schemas.microsoft.com/office/spreadsheetml/2009/9/main" uri="{725AE2AE-9491-48be-B2B4-4EB974FC3084}">
      <x14:pivotCacheDefinition pivotCacheId="1740085874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jal Bansal" refreshedDate="46281.556213657408" createdVersion="8" refreshedVersion="8" minRefreshableVersion="3" recordCount="165" xr:uid="{DF1D0F46-97AE-48EA-B9C7-3A31E8E1E554}">
  <cacheSource type="worksheet">
    <worksheetSource ref="A4:D169" sheet="Pivot Tables"/>
  </cacheSource>
  <cacheFields count="4">
    <cacheField name="Company" numFmtId="0">
      <sharedItems/>
    </cacheField>
    <cacheField name="Fiscal Year" numFmtId="0">
      <sharedItems/>
    </cacheField>
    <cacheField name="Ratio" numFmtId="0">
      <sharedItems/>
    </cacheField>
    <cacheField name="Value" numFmtId="0">
      <sharedItems containsMixedTypes="1" containsNumber="1" minValue="-0.17184553578748873" maxValue="644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3">
  <r>
    <x v="0"/>
    <n v="0.1692979445524921"/>
    <n v="0.1670518322878838"/>
    <n v="0.1660365774848132"/>
    <n v="0.1736400991390556"/>
    <n v="0.2332940373518645"/>
  </r>
  <r>
    <x v="1"/>
    <n v="0.1072439162422184"/>
    <n v="0.1417177914110429"/>
    <n v="0.1274375335440396"/>
    <n v="0.1219485007245569"/>
    <n v="0.1365380515881475"/>
  </r>
  <r>
    <x v="2"/>
    <n v="0.1436808900345974"/>
    <n v="0.1415044090666982"/>
    <n v="0.1612281708616873"/>
    <n v="0.1587961587961588"/>
    <n v="0.1511120708270352"/>
  </r>
</pivotCacheRecords>
</file>

<file path=xl/pivotCache/pivotCacheRecords2.xml><?xml version="1.0" encoding="utf-8"?>
<pivotCacheRecords xmlns="http://schemas.openxmlformats.org/spreadsheetml/2006/main" count="3">
  <r>
    <x v="0"/>
    <n v="0.1692979445524921"/>
    <n v="0.1670518322878838"/>
    <n v="0.1660365774848132"/>
    <n v="0.1736400991390556"/>
    <n v="0.2332940373518645"/>
  </r>
  <r>
    <x v="1"/>
    <n v="0.1072439162422184"/>
    <n v="0.1417177914110429"/>
    <n v="0.1274375335440396"/>
    <n v="0.1219485007245569"/>
    <n v="0.1365380515881475"/>
  </r>
  <r>
    <x v="2"/>
    <n v="0.1436808900345974"/>
    <n v="0.1415044090666982"/>
    <n v="0.1612281708616873"/>
    <n v="0.1587961587961588"/>
    <n v="0.1511120708270352"/>
  </r>
</pivotCacheRecords>
</file>

<file path=xl/pivotCache/pivotCacheRecords3.xml><?xml version="1.0" encoding="utf-8"?>
<pivotCacheRecords xmlns="http://schemas.openxmlformats.org/spreadsheetml/2006/main" count="3">
  <r>
    <x v="0"/>
    <n v="0.1692979445524921"/>
    <n v="0.1670518322878838"/>
    <n v="0.1660365774848132"/>
    <n v="0.1736400991390556"/>
    <n v="0.2332940373518645"/>
  </r>
  <r>
    <x v="1"/>
    <n v="0.1072439162422184"/>
    <n v="0.1417177914110429"/>
    <n v="0.1274375335440396"/>
    <n v="0.1219485007245569"/>
    <n v="0.1365380515881475"/>
  </r>
  <r>
    <x v="2"/>
    <n v="0.1436808900345974"/>
    <n v="0.1415044090666982"/>
    <n v="0.1612281708616873"/>
    <n v="0.1587961587961588"/>
    <n v="0.1511120708270352"/>
  </r>
</pivotCacheRecords>
</file>

<file path=xl/pivotCache/pivotCacheRecords4.xml><?xml version="1.0" encoding="utf-8"?>
<pivotCacheRecords xmlns="http://schemas.openxmlformats.org/spreadsheetml/2006/main" count="3">
  <r>
    <x v="0"/>
    <n v="0.1692979445524921"/>
    <n v="0.1670518322878838"/>
    <n v="0.1660365774848132"/>
    <n v="0.1736400991390556"/>
    <n v="0.2332940373518645"/>
  </r>
  <r>
    <x v="1"/>
    <n v="0.1072439162422184"/>
    <n v="0.1417177914110429"/>
    <n v="0.1274375335440396"/>
    <n v="0.1219485007245569"/>
    <n v="0.1365380515881475"/>
  </r>
  <r>
    <x v="2"/>
    <n v="0.1436808900345974"/>
    <n v="0.1415044090666982"/>
    <n v="0.1612281708616873"/>
    <n v="0.1587961587961588"/>
    <n v="0.151112070827035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s v="Hindustan Unilever"/>
    <s v="FY2022"/>
    <s v="Revenue (Rs. Crore)"/>
    <n v="52446"/>
  </r>
  <r>
    <s v="Hindustan Unilever"/>
    <s v="FY2023"/>
    <s v="Revenue (Rs. Crore)"/>
    <n v="60580"/>
  </r>
  <r>
    <s v="Hindustan Unilever"/>
    <s v="FY2024"/>
    <s v="Revenue (Rs. Crore)"/>
    <n v="61896"/>
  </r>
  <r>
    <s v="Hindustan Unilever"/>
    <s v="FY2025"/>
    <s v="Revenue (Rs. Crore)"/>
    <n v="61328"/>
  </r>
  <r>
    <s v="Hindustan Unilever"/>
    <s v="FY2026"/>
    <s v="Revenue (Rs. Crore)"/>
    <n v="64468"/>
  </r>
  <r>
    <s v="Britannia Industries"/>
    <s v="FY2022"/>
    <s v="Revenue (Rs. Crore)"/>
    <n v="14136"/>
  </r>
  <r>
    <s v="Britannia Industries"/>
    <s v="FY2023"/>
    <s v="Revenue (Rs. Crore)"/>
    <n v="16300"/>
  </r>
  <r>
    <s v="Britannia Industries"/>
    <s v="FY2024"/>
    <s v="Revenue (Rs. Crore)"/>
    <n v="16769"/>
  </r>
  <r>
    <s v="Britannia Industries"/>
    <s v="FY2025"/>
    <s v="Revenue (Rs. Crore)"/>
    <n v="17942"/>
  </r>
  <r>
    <s v="Britannia Industries"/>
    <s v="FY2026"/>
    <s v="Revenue (Rs. Crore)"/>
    <n v="18764"/>
  </r>
  <r>
    <s v="Nestle India"/>
    <s v="FY2022"/>
    <s v="Revenue (Rs. Crore)"/>
    <n v="14741"/>
  </r>
  <r>
    <s v="Nestle India"/>
    <s v="FY2023"/>
    <s v="Revenue (Rs. Crore)"/>
    <n v="16897"/>
  </r>
  <r>
    <s v="Nestle India"/>
    <s v="FY2024"/>
    <s v="Revenue (Rs. Crore)"/>
    <n v="24394"/>
  </r>
  <r>
    <s v="Nestle India"/>
    <s v="FY2025"/>
    <s v="Revenue (Rs. Crore)"/>
    <n v="20202"/>
  </r>
  <r>
    <s v="Nestle India"/>
    <s v="FY2026"/>
    <s v="Revenue (Rs. Crore)"/>
    <n v="23155"/>
  </r>
  <r>
    <s v="Hindustan Unilever"/>
    <s v="FY2022"/>
    <s v="Revenue Growth YoY (%)"/>
    <s v="n/a"/>
  </r>
  <r>
    <s v="Hindustan Unilever"/>
    <s v="FY2023"/>
    <s v="Revenue Growth YoY (%)"/>
    <n v="0.15509285741524614"/>
  </r>
  <r>
    <s v="Hindustan Unilever"/>
    <s v="FY2024"/>
    <s v="Revenue Growth YoY (%)"/>
    <n v="2.1723341036645749E-2"/>
  </r>
  <r>
    <s v="Hindustan Unilever"/>
    <s v="FY2025"/>
    <s v="Revenue Growth YoY (%)"/>
    <n v="-9.1766834690448773E-3"/>
  </r>
  <r>
    <s v="Hindustan Unilever"/>
    <s v="FY2026"/>
    <s v="Revenue Growth YoY (%)"/>
    <n v="5.1200104356900589E-2"/>
  </r>
  <r>
    <s v="Britannia Industries"/>
    <s v="FY2022"/>
    <s v="Revenue Growth YoY (%)"/>
    <s v="n/a"/>
  </r>
  <r>
    <s v="Britannia Industries"/>
    <s v="FY2023"/>
    <s v="Revenue Growth YoY (%)"/>
    <n v="0.15308432371250702"/>
  </r>
  <r>
    <s v="Britannia Industries"/>
    <s v="FY2024"/>
    <s v="Revenue Growth YoY (%)"/>
    <n v="2.8773006134969359E-2"/>
  </r>
  <r>
    <s v="Britannia Industries"/>
    <s v="FY2025"/>
    <s v="Revenue Growth YoY (%)"/>
    <n v="6.9950503906017092E-2"/>
  </r>
  <r>
    <s v="Britannia Industries"/>
    <s v="FY2026"/>
    <s v="Revenue Growth YoY (%)"/>
    <n v="4.581429049158392E-2"/>
  </r>
  <r>
    <s v="Nestle India"/>
    <s v="FY2022"/>
    <s v="Revenue Growth YoY (%)"/>
    <s v="n/a"/>
  </r>
  <r>
    <s v="Nestle India"/>
    <s v="FY2023"/>
    <s v="Revenue Growth YoY (%)"/>
    <n v="0.14625873414286694"/>
  </r>
  <r>
    <s v="Nestle India"/>
    <s v="FY2024"/>
    <s v="Revenue Growth YoY (%)"/>
    <n v="0.4436882286796473"/>
  </r>
  <r>
    <s v="Nestle India"/>
    <s v="FY2025"/>
    <s v="Revenue Growth YoY (%)"/>
    <n v="-0.17184553578748873"/>
  </r>
  <r>
    <s v="Nestle India"/>
    <s v="FY2026"/>
    <s v="Revenue Growth YoY (%)"/>
    <n v="0.14617364617364625"/>
  </r>
  <r>
    <s v="Hindustan Unilever"/>
    <s v="FY2022"/>
    <s v="EBITDA Margin (%)"/>
    <n v="0.23649086679632383"/>
  </r>
  <r>
    <s v="Hindustan Unilever"/>
    <s v="FY2023"/>
    <s v="EBITDA Margin (%)"/>
    <n v="0.22585011554968637"/>
  </r>
  <r>
    <s v="Hindustan Unilever"/>
    <s v="FY2024"/>
    <s v="EBITDA Margin (%)"/>
    <n v="0.22875468527853174"/>
  </r>
  <r>
    <s v="Hindustan Unilever"/>
    <s v="FY2025"/>
    <s v="EBITDA Margin (%)"/>
    <n v="0.23209626924080354"/>
  </r>
  <r>
    <s v="Hindustan Unilever"/>
    <s v="FY2026"/>
    <s v="EBITDA Margin (%)"/>
    <n v="0.22575541353849973"/>
  </r>
  <r>
    <s v="Britannia Industries"/>
    <s v="FY2022"/>
    <s v="EBITDA Margin (%)"/>
    <n v="0.17140633842671193"/>
  </r>
  <r>
    <s v="Britannia Industries"/>
    <s v="FY2023"/>
    <s v="EBITDA Margin (%)"/>
    <n v="0.18680981595092025"/>
  </r>
  <r>
    <s v="Britannia Industries"/>
    <s v="FY2024"/>
    <s v="EBITDA Margin (%)"/>
    <n v="0.2017413083666289"/>
  </r>
  <r>
    <s v="Britannia Industries"/>
    <s v="FY2025"/>
    <s v="EBITDA Margin (%)"/>
    <n v="0.19027979043584883"/>
  </r>
  <r>
    <s v="Britannia Industries"/>
    <s v="FY2026"/>
    <s v="EBITDA Margin (%)"/>
    <n v="0.19766574291195907"/>
  </r>
  <r>
    <s v="Nestle India"/>
    <s v="FY2022"/>
    <s v="EBITDA Margin (%)"/>
    <n v="0.23404110982972662"/>
  </r>
  <r>
    <s v="Nestle India"/>
    <s v="FY2023"/>
    <s v="EBITDA Margin (%)"/>
    <n v="0.22566136000473458"/>
  </r>
  <r>
    <s v="Nestle India"/>
    <s v="FY2024"/>
    <s v="EBITDA Margin (%)"/>
    <n v="0.24604410920718209"/>
  </r>
  <r>
    <s v="Nestle India"/>
    <s v="FY2025"/>
    <s v="EBITDA Margin (%)"/>
    <n v="0.24710424710424711"/>
  </r>
  <r>
    <s v="Nestle India"/>
    <s v="FY2026"/>
    <s v="EBITDA Margin (%)"/>
    <n v="0.23411790110127403"/>
  </r>
  <r>
    <s v="Hindustan Unilever"/>
    <s v="FY2022"/>
    <s v="EBIT / Operating Margin (%)"/>
    <n v="0.22398276322312474"/>
  </r>
  <r>
    <s v="Hindustan Unilever"/>
    <s v="FY2023"/>
    <s v="EBIT / Operating Margin (%)"/>
    <n v="0.21437768240343347"/>
  </r>
  <r>
    <s v="Hindustan Unilever"/>
    <s v="FY2024"/>
    <s v="EBIT / Operating Margin (%)"/>
    <n v="0.21671836629184438"/>
  </r>
  <r>
    <s v="Hindustan Unilever"/>
    <s v="FY2025"/>
    <s v="EBIT / Operating Margin (%)"/>
    <n v="0.21880707018001566"/>
  </r>
  <r>
    <s v="Hindustan Unilever"/>
    <s v="FY2026"/>
    <s v="EBIT / Operating Margin (%)"/>
    <n v="0.21226034621827883"/>
  </r>
  <r>
    <s v="Britannia Industries"/>
    <s v="FY2022"/>
    <s v="EBIT / Operating Margin (%)"/>
    <n v="0.15725806451612903"/>
  </r>
  <r>
    <s v="Britannia Industries"/>
    <s v="FY2023"/>
    <s v="EBIT / Operating Margin (%)"/>
    <n v="0.17300613496932515"/>
  </r>
  <r>
    <s v="Britannia Industries"/>
    <s v="FY2024"/>
    <s v="EBIT / Operating Margin (%)"/>
    <n v="0.18385115391496212"/>
  </r>
  <r>
    <s v="Britannia Industries"/>
    <s v="FY2025"/>
    <s v="EBIT / Operating Margin (%)"/>
    <n v="0.17283468955523354"/>
  </r>
  <r>
    <s v="Britannia Industries"/>
    <s v="FY2026"/>
    <s v="EBIT / Operating Margin (%)"/>
    <n v="0.17917288424642933"/>
  </r>
  <r>
    <s v="Nestle India"/>
    <s v="FY2022"/>
    <s v="EBIT / Operating Margin (%)"/>
    <n v="0.21511430703480089"/>
  </r>
  <r>
    <s v="Nestle India"/>
    <s v="FY2023"/>
    <s v="EBIT / Operating Margin (%)"/>
    <n v="0.19547848730543885"/>
  </r>
  <r>
    <s v="Nestle India"/>
    <s v="FY2024"/>
    <s v="EBIT / Operating Margin (%)"/>
    <n v="0.21747150938755433"/>
  </r>
  <r>
    <s v="Nestle India"/>
    <s v="FY2025"/>
    <s v="EBIT / Operating Margin (%)"/>
    <n v="0.20824670824670824"/>
  </r>
  <r>
    <s v="Nestle India"/>
    <s v="FY2026"/>
    <s v="EBIT / Operating Margin (%)"/>
    <n v="0.1970200820557115"/>
  </r>
  <r>
    <s v="Hindustan Unilever"/>
    <s v="FY2022"/>
    <s v="Net Profit Margin (%)"/>
    <n v="0.16929794455249209"/>
  </r>
  <r>
    <s v="Hindustan Unilever"/>
    <s v="FY2023"/>
    <s v="Net Profit Margin (%)"/>
    <n v="0.16705183228788378"/>
  </r>
  <r>
    <s v="Hindustan Unilever"/>
    <s v="FY2024"/>
    <s v="Net Profit Margin (%)"/>
    <n v="0.16603657748481324"/>
  </r>
  <r>
    <s v="Hindustan Unilever"/>
    <s v="FY2025"/>
    <s v="Net Profit Margin (%)"/>
    <n v="0.17364009913905556"/>
  </r>
  <r>
    <s v="Hindustan Unilever"/>
    <s v="FY2026"/>
    <s v="Net Profit Margin (%)"/>
    <n v="0.23329403735186449"/>
  </r>
  <r>
    <s v="Britannia Industries"/>
    <s v="FY2022"/>
    <s v="Net Profit Margin (%)"/>
    <n v="0.10724391624221845"/>
  </r>
  <r>
    <s v="Britannia Industries"/>
    <s v="FY2023"/>
    <s v="Net Profit Margin (%)"/>
    <n v="0.14171779141104293"/>
  </r>
  <r>
    <s v="Britannia Industries"/>
    <s v="FY2024"/>
    <s v="Net Profit Margin (%)"/>
    <n v="0.12743753354403961"/>
  </r>
  <r>
    <s v="Britannia Industries"/>
    <s v="FY2025"/>
    <s v="Net Profit Margin (%)"/>
    <n v="0.1219485007245569"/>
  </r>
  <r>
    <s v="Britannia Industries"/>
    <s v="FY2026"/>
    <s v="Net Profit Margin (%)"/>
    <n v="0.13653805158814752"/>
  </r>
  <r>
    <s v="Nestle India"/>
    <s v="FY2022"/>
    <s v="Net Profit Margin (%)"/>
    <n v="0.14368089003459739"/>
  </r>
  <r>
    <s v="Nestle India"/>
    <s v="FY2023"/>
    <s v="Net Profit Margin (%)"/>
    <n v="0.14150440906669823"/>
  </r>
  <r>
    <s v="Nestle India"/>
    <s v="FY2024"/>
    <s v="Net Profit Margin (%)"/>
    <n v="0.16122817086168731"/>
  </r>
  <r>
    <s v="Nestle India"/>
    <s v="FY2025"/>
    <s v="Net Profit Margin (%)"/>
    <n v="0.1587961587961588"/>
  </r>
  <r>
    <s v="Nestle India"/>
    <s v="FY2026"/>
    <s v="Net Profit Margin (%)"/>
    <n v="0.15111207082703521"/>
  </r>
  <r>
    <s v="Hindustan Unilever"/>
    <s v="FY2022"/>
    <s v="Return on Equity - ROE (%)"/>
    <n v="0.18088292215861634"/>
  </r>
  <r>
    <s v="Hindustan Unilever"/>
    <s v="FY2023"/>
    <s v="Return on Equity - ROE (%)"/>
    <n v="0.20030877637464867"/>
  </r>
  <r>
    <s v="Hindustan Unilever"/>
    <s v="FY2024"/>
    <s v="Return on Equity - ROE (%)"/>
    <n v="0.19985220621122843"/>
  </r>
  <r>
    <s v="Hindustan Unilever"/>
    <s v="FY2025"/>
    <s v="Return on Equity - ROE (%)"/>
    <n v="0.21465863049043521"/>
  </r>
  <r>
    <s v="Hindustan Unilever"/>
    <s v="FY2026"/>
    <s v="Return on Equity - ROE (%)"/>
    <n v="0.30688867123734903"/>
  </r>
  <r>
    <s v="Britannia Industries"/>
    <s v="FY2022"/>
    <s v="Return on Equity - ROE (%)"/>
    <n v="0.59265050820953868"/>
  </r>
  <r>
    <s v="Britannia Industries"/>
    <s v="FY2023"/>
    <s v="Return on Equity - ROE (%)"/>
    <n v="0.65365025466893034"/>
  </r>
  <r>
    <s v="Britannia Industries"/>
    <s v="FY2024"/>
    <s v="Return on Equity - ROE (%)"/>
    <n v="0.54211060375443942"/>
  </r>
  <r>
    <s v="Britannia Industries"/>
    <s v="FY2025"/>
    <s v="Return on Equity - ROE (%)"/>
    <n v="0.50229568411386594"/>
  </r>
  <r>
    <s v="Britannia Industries"/>
    <s v="FY2026"/>
    <s v="Return on Equity - ROE (%)"/>
    <n v="0.50166438222048171"/>
  </r>
  <r>
    <s v="Nestle India"/>
    <s v="FY2022"/>
    <s v="Return on Equity - ROE (%)"/>
    <n v="1.0883864337101747"/>
  </r>
  <r>
    <s v="Nestle India"/>
    <s v="FY2023"/>
    <s v="Return on Equity - ROE (%)"/>
    <n v="0.97234648230988208"/>
  </r>
  <r>
    <s v="Nestle India"/>
    <s v="FY2024"/>
    <s v="Return on Equity - ROE (%)"/>
    <n v="1.1771924573480994"/>
  </r>
  <r>
    <s v="Nestle India"/>
    <s v="FY2025"/>
    <s v="Return on Equity - ROE (%)"/>
    <n v="0.8"/>
  </r>
  <r>
    <s v="Nestle India"/>
    <s v="FY2026"/>
    <s v="Return on Equity - ROE (%)"/>
    <n v="0.67849524917587745"/>
  </r>
  <r>
    <s v="Hindustan Unilever"/>
    <s v="FY2022"/>
    <s v="Return on Assets - ROA (%)"/>
    <n v="0.12591290043535602"/>
  </r>
  <r>
    <s v="Hindustan Unilever"/>
    <s v="FY2023"/>
    <s v="Return on Assets - ROA (%)"/>
    <n v="0.13846511691545693"/>
  </r>
  <r>
    <s v="Hindustan Unilever"/>
    <s v="FY2024"/>
    <s v="Return on Assets - ROA (%)"/>
    <n v="0.13091886520847398"/>
  </r>
  <r>
    <s v="Hindustan Unilever"/>
    <s v="FY2025"/>
    <s v="Return on Assets - ROA (%)"/>
    <n v="0.13331246870305458"/>
  </r>
  <r>
    <s v="Hindustan Unilever"/>
    <s v="FY2026"/>
    <s v="Return on Assets - ROA (%)"/>
    <n v="0.18858461229812418"/>
  </r>
  <r>
    <s v="Britannia Industries"/>
    <s v="FY2022"/>
    <s v="Return on Assets - ROA (%)"/>
    <n v="0.20278223649010166"/>
  </r>
  <r>
    <s v="Britannia Industries"/>
    <s v="FY2023"/>
    <s v="Return on Assets - ROA (%)"/>
    <n v="0.24852071005917159"/>
  </r>
  <r>
    <s v="Britannia Industries"/>
    <s v="FY2024"/>
    <s v="Return on Assets - ROA (%)"/>
    <n v="0.23665559246954596"/>
  </r>
  <r>
    <s v="Britannia Industries"/>
    <s v="FY2025"/>
    <s v="Return on Assets - ROA (%)"/>
    <n v="0.24857986821177006"/>
  </r>
  <r>
    <s v="Britannia Industries"/>
    <s v="FY2026"/>
    <s v="Return on Assets - ROA (%)"/>
    <n v="0.26442357312416143"/>
  </r>
  <r>
    <s v="Nestle India"/>
    <s v="FY2022"/>
    <s v="Return on Assets - ROA (%)"/>
    <n v="0.38383472272562524"/>
  </r>
  <r>
    <s v="Nestle India"/>
    <s v="FY2023"/>
    <s v="Return on Assets - ROA (%)"/>
    <n v="0.40171370967741937"/>
  </r>
  <r>
    <s v="Nestle India"/>
    <s v="FY2024"/>
    <s v="Return on Assets - ROA (%)"/>
    <n v="0.37375273211061483"/>
  </r>
  <r>
    <s v="Nestle India"/>
    <s v="FY2025"/>
    <s v="Return on Assets - ROA (%)"/>
    <n v="0.26310177970966947"/>
  </r>
  <r>
    <s v="Nestle India"/>
    <s v="FY2026"/>
    <s v="Return on Assets - ROA (%)"/>
    <n v="0.26543771810043998"/>
  </r>
  <r>
    <s v="Hindustan Unilever"/>
    <s v="FY2022"/>
    <s v="Operating Cash Flow Margin (%)"/>
    <n v="0.1725203066010754"/>
  </r>
  <r>
    <s v="Hindustan Unilever"/>
    <s v="FY2023"/>
    <s v="Operating Cash Flow Margin (%)"/>
    <n v="0.16492241663915483"/>
  </r>
  <r>
    <s v="Hindustan Unilever"/>
    <s v="FY2024"/>
    <s v="Operating Cash Flow Margin (%)"/>
    <n v="0.2499192193356598"/>
  </r>
  <r>
    <s v="Hindustan Unilever"/>
    <s v="FY2025"/>
    <s v="Operating Cash Flow Margin (%)"/>
    <n v="0.19381033133315939"/>
  </r>
  <r>
    <s v="Hindustan Unilever"/>
    <s v="FY2026"/>
    <s v="Operating Cash Flow Margin (%)"/>
    <n v="0.17061177638518335"/>
  </r>
  <r>
    <s v="Britannia Industries"/>
    <s v="FY2022"/>
    <s v="Operating Cash Flow Margin (%)"/>
    <n v="9.1893039049236E-2"/>
  </r>
  <r>
    <s v="Britannia Industries"/>
    <s v="FY2023"/>
    <s v="Operating Cash Flow Margin (%)"/>
    <n v="0.15496932515337422"/>
  </r>
  <r>
    <s v="Britannia Industries"/>
    <s v="FY2024"/>
    <s v="Operating Cash Flow Margin (%)"/>
    <n v="0.15337825749895639"/>
  </r>
  <r>
    <s v="Britannia Industries"/>
    <s v="FY2025"/>
    <s v="Operating Cash Flow Margin (%)"/>
    <n v="0.13878051499275443"/>
  </r>
  <r>
    <s v="Britannia Industries"/>
    <s v="FY2026"/>
    <s v="Operating Cash Flow Margin (%)"/>
    <n v="0.13914943508846728"/>
  </r>
  <r>
    <s v="Nestle India"/>
    <s v="FY2022"/>
    <s v="Operating Cash Flow Margin (%)"/>
    <n v="0.15168577437080252"/>
  </r>
  <r>
    <s v="Nestle India"/>
    <s v="FY2023"/>
    <s v="Operating Cash Flow Margin (%)"/>
    <n v="0.16198141681955378"/>
  </r>
  <r>
    <s v="Nestle India"/>
    <s v="FY2024"/>
    <s v="Operating Cash Flow Margin (%)"/>
    <n v="0.17114864310896122"/>
  </r>
  <r>
    <s v="Nestle India"/>
    <s v="FY2025"/>
    <s v="Operating Cash Flow Margin (%)"/>
    <n v="0.14533214533214533"/>
  </r>
  <r>
    <s v="Nestle India"/>
    <s v="FY2026"/>
    <s v="Operating Cash Flow Margin (%)"/>
    <n v="0.21800906931548261"/>
  </r>
  <r>
    <s v="Hindustan Unilever"/>
    <s v="FY2022"/>
    <s v="Debt-to-Equity (x)"/>
    <n v="1.5706806282722512E-2"/>
  </r>
  <r>
    <s v="Hindustan Unilever"/>
    <s v="FY2023"/>
    <s v="Debt-to-Equity (x)"/>
    <n v="1.6784767032183998E-2"/>
  </r>
  <r>
    <s v="Hindustan Unilever"/>
    <s v="FY2024"/>
    <s v="Debt-to-Equity (x)"/>
    <n v="2.2246854520350814E-2"/>
  </r>
  <r>
    <s v="Hindustan Unilever"/>
    <s v="FY2025"/>
    <s v="Debt-to-Equity (x)"/>
    <n v="2.5882400370900442E-2"/>
  </r>
  <r>
    <s v="Hindustan Unilever"/>
    <s v="FY2026"/>
    <s v="Debt-to-Equity (x)"/>
    <n v="2.3281913157035587E-2"/>
  </r>
  <r>
    <s v="Britannia Industries"/>
    <s v="FY2022"/>
    <s v="Debt-to-Equity (x)"/>
    <n v="0.96403440187646594"/>
  </r>
  <r>
    <s v="Britannia Industries"/>
    <s v="FY2023"/>
    <s v="Debt-to-Equity (x)"/>
    <n v="0.84352009054895305"/>
  </r>
  <r>
    <s v="Britannia Industries"/>
    <s v="FY2024"/>
    <s v="Debt-to-Equity (x)"/>
    <n v="0.51775748351090822"/>
  </r>
  <r>
    <s v="Britannia Industries"/>
    <s v="FY2025"/>
    <s v="Debt-to-Equity (x)"/>
    <n v="0.2812213039485767"/>
  </r>
  <r>
    <s v="Britannia Industries"/>
    <s v="FY2026"/>
    <s v="Debt-to-Equity (x)"/>
    <n v="0.26590953593107497"/>
  </r>
  <r>
    <s v="Nestle India"/>
    <s v="FY2022"/>
    <s v="Debt-to-Equity (x)"/>
    <n v="0.1366906474820144"/>
  </r>
  <r>
    <s v="Nestle India"/>
    <s v="FY2023"/>
    <s v="Debt-to-Equity (x)"/>
    <n v="0.11020740138267589"/>
  </r>
  <r>
    <s v="Nestle India"/>
    <s v="FY2024"/>
    <s v="Debt-to-Equity (x)"/>
    <n v="0.1032624962586052"/>
  </r>
  <r>
    <s v="Nestle India"/>
    <s v="FY2025"/>
    <s v="Debt-to-Equity (x)"/>
    <n v="0.29102244389027432"/>
  </r>
  <r>
    <s v="Nestle India"/>
    <s v="FY2026"/>
    <s v="Debt-to-Equity (x)"/>
    <n v="8.6096567771960439E-2"/>
  </r>
  <r>
    <s v="Hindustan Unilever"/>
    <s v="FY2022"/>
    <s v="Asset Turnover (x)"/>
    <n v="0.74373555312903272"/>
  </r>
  <r>
    <s v="Hindustan Unilever"/>
    <s v="FY2023"/>
    <s v="Asset Turnover (x)"/>
    <n v="0.82887517615991901"/>
  </r>
  <r>
    <s v="Hindustan Unilever"/>
    <s v="FY2024"/>
    <s v="Asset Turnover (x)"/>
    <n v="0.78849412094421589"/>
  </r>
  <r>
    <s v="Hindustan Unilever"/>
    <s v="FY2025"/>
    <s v="Asset Turnover (x)"/>
    <n v="0.76775162744116177"/>
  </r>
  <r>
    <s v="Hindustan Unilever"/>
    <s v="FY2026"/>
    <s v="Asset Turnover (x)"/>
    <n v="0.80835590330023066"/>
  </r>
  <r>
    <s v="Britannia Industries"/>
    <s v="FY2022"/>
    <s v="Asset Turnover (x)"/>
    <n v="1.8908507223113964"/>
  </r>
  <r>
    <s v="Britannia Industries"/>
    <s v="FY2023"/>
    <s v="Asset Turnover (x)"/>
    <n v="1.7536309844002151"/>
  </r>
  <r>
    <s v="Britannia Industries"/>
    <s v="FY2024"/>
    <s v="Asset Turnover (x)"/>
    <n v="1.85703211517165"/>
  </r>
  <r>
    <s v="Britannia Industries"/>
    <s v="FY2025"/>
    <s v="Asset Turnover (x)"/>
    <n v="2.038400363553738"/>
  </r>
  <r>
    <s v="Britannia Industries"/>
    <s v="FY2026"/>
    <s v="Asset Turnover (x)"/>
    <n v="1.9366291670967075"/>
  </r>
  <r>
    <s v="Nestle India"/>
    <s v="FY2022"/>
    <s v="Asset Turnover (x)"/>
    <n v="2.6714389271475172"/>
  </r>
  <r>
    <s v="Nestle India"/>
    <s v="FY2023"/>
    <s v="Asset Turnover (x)"/>
    <n v="2.838877688172043"/>
  </r>
  <r>
    <s v="Nestle India"/>
    <s v="FY2024"/>
    <s v="Asset Turnover (x)"/>
    <n v="2.3181602204694478"/>
  </r>
  <r>
    <s v="Nestle India"/>
    <s v="FY2025"/>
    <s v="Asset Turnover (x)"/>
    <n v="1.65685229229886"/>
  </r>
  <r>
    <s v="Nestle India"/>
    <s v="FY2026"/>
    <s v="Asset Turnover (x)"/>
    <n v="1.7565619784554696"/>
  </r>
  <r>
    <s v="Hindustan Unilever"/>
    <s v="FY2022"/>
    <s v="Interest Coverage Ratio (x)"/>
    <n v="143.2560975609756"/>
  </r>
  <r>
    <s v="Hindustan Unilever"/>
    <s v="FY2023"/>
    <s v="Interest Coverage Ratio (x)"/>
    <n v="147.57954545454547"/>
  </r>
  <r>
    <s v="Hindustan Unilever"/>
    <s v="FY2024"/>
    <s v="Interest Coverage Ratio (x)"/>
    <n v="47.736654804270465"/>
  </r>
  <r>
    <s v="Hindustan Unilever"/>
    <s v="FY2025"/>
    <s v="Interest Coverage Ratio (x)"/>
    <n v="40.540785498489427"/>
  </r>
  <r>
    <s v="Hindustan Unilever"/>
    <s v="FY2026"/>
    <s v="Interest Coverage Ratio (x)"/>
    <n v="40.970059880239518"/>
  </r>
  <r>
    <s v="Britannia Industries"/>
    <s v="FY2022"/>
    <s v="Interest Coverage Ratio (x)"/>
    <n v="15.4375"/>
  </r>
  <r>
    <s v="Britannia Industries"/>
    <s v="FY2023"/>
    <s v="Interest Coverage Ratio (x)"/>
    <n v="16.68639053254438"/>
  </r>
  <r>
    <s v="Britannia Industries"/>
    <s v="FY2024"/>
    <s v="Interest Coverage Ratio (x)"/>
    <n v="18.798780487804876"/>
  </r>
  <r>
    <s v="Britannia Industries"/>
    <s v="FY2025"/>
    <s v="Interest Coverage Ratio (x)"/>
    <n v="22.471014492753625"/>
  </r>
  <r>
    <s v="Britannia Industries"/>
    <s v="FY2026"/>
    <s v="Interest Coverage Ratio (x)"/>
    <n v="30.288288288288289"/>
  </r>
  <r>
    <s v="Nestle India"/>
    <s v="FY2022"/>
    <s v="Interest Coverage Ratio (x)"/>
    <n v="15.698019801980198"/>
  </r>
  <r>
    <s v="Nestle India"/>
    <s v="FY2023"/>
    <s v="Interest Coverage Ratio (x)"/>
    <n v="21.309677419354838"/>
  </r>
  <r>
    <s v="Nestle India"/>
    <s v="FY2024"/>
    <s v="Interest Coverage Ratio (x)"/>
    <n v="36.586206896551722"/>
  </r>
  <r>
    <s v="Nestle India"/>
    <s v="FY2025"/>
    <s v="Interest Coverage Ratio (x)"/>
    <n v="30.933823529411764"/>
  </r>
  <r>
    <s v="Nestle India"/>
    <s v="FY2026"/>
    <s v="Interest Coverage Ratio (x)"/>
    <n v="28.8734177215189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2B7465-724D-41D5-AD18-8D2C623E562C}" name="PivotTable2" cacheId="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D4" firstHeaderRow="0" firstDataRow="0" firstDataCol="0"/>
  <pivotFields count="4"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2000000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1:F35" firstHeaderRow="0" firstDataRow="1" firstDataCol="1"/>
  <pivotFields count="6">
    <pivotField axis="axisRow" showAll="0">
      <items count="4">
        <item x="1"/>
        <item x="0"/>
        <item x="2"/>
        <item t="default"/>
      </items>
    </pivotField>
    <pivotField dataField="1" showAll="0">
      <items count="4">
        <item x="0"/>
        <item x="2"/>
        <item x="1"/>
        <item t="default"/>
      </items>
    </pivotField>
    <pivotField dataField="1" showAll="0"/>
    <pivotField dataField="1" showAll="0"/>
    <pivotField dataField="1"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FY2022" fld="1" baseField="0" baseItem="0"/>
    <dataField name="Sum of FY2023" fld="2" baseField="0" baseItem="0"/>
    <dataField name="Sum of FY2024" fld="3" baseField="0" baseItem="0"/>
    <dataField name="Sum of FY2025" fld="4" baseField="0" baseItem="0"/>
    <dataField name="Sum of FY2026" fld="5" baseField="0" baseItem="0"/>
  </dataFields>
  <formats count="1">
    <format dxfId="8">
      <pivotArea collapsedLevelsAreSubtotals="1" fieldPosition="0">
        <references count="1">
          <reference field="0" count="0"/>
        </references>
      </pivotArea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1000000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6">
    <pivotField axis="axisRow" showAll="0">
      <items count="4">
        <item x="1"/>
        <item x="0"/>
        <item x="2"/>
        <item t="default"/>
      </items>
    </pivotField>
    <pivotField showAll="0">
      <items count="2">
        <item x="0"/>
        <item t="default"/>
      </items>
    </pivotField>
    <pivotField numFmtId="10" showAll="0">
      <items count="4">
        <item x="2"/>
        <item x="1"/>
        <item x="0"/>
        <item t="default"/>
      </items>
    </pivotField>
    <pivotField numFmtId="10" showAll="0">
      <items count="4">
        <item x="0"/>
        <item x="1"/>
        <item x="2"/>
        <item t="default"/>
      </items>
    </pivotField>
    <pivotField numFmtId="10" showAll="0">
      <items count="4">
        <item x="2"/>
        <item x="0"/>
        <item x="1"/>
        <item t="default"/>
      </items>
    </pivotField>
    <pivotField dataField="1" numFmtId="10" showAll="0">
      <items count="4">
        <item x="1"/>
        <item x="0"/>
        <item x="2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FY2026" fld="5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0:F15" firstHeaderRow="1" firstDataRow="2" firstDataCol="1"/>
  <pivotFields count="6">
    <pivotField axis="axisRow" showAll="0">
      <items count="4">
        <item x="1"/>
        <item x="0"/>
        <item x="2"/>
        <item t="default"/>
      </items>
    </pivotField>
    <pivotField dataField="1" showAll="0">
      <items count="2">
        <item x="0"/>
        <item t="default"/>
      </items>
    </pivotField>
    <pivotField dataField="1" numFmtId="10" showAll="0">
      <items count="7">
        <item h="1" x="5"/>
        <item x="4"/>
        <item x="2"/>
        <item x="1"/>
        <item x="0"/>
        <item x="3"/>
        <item t="default"/>
      </items>
    </pivotField>
    <pivotField dataField="1" numFmtId="10" showAll="0">
      <items count="7">
        <item x="0"/>
        <item x="1"/>
        <item x="4"/>
        <item x="5"/>
        <item x="3"/>
        <item x="2"/>
        <item t="default"/>
      </items>
    </pivotField>
    <pivotField dataField="1" numFmtId="10" showAll="0">
      <items count="7">
        <item x="2"/>
        <item x="0"/>
        <item x="1"/>
        <item x="4"/>
        <item x="5"/>
        <item x="3"/>
        <item t="default"/>
      </items>
    </pivotField>
    <pivotField dataField="1" numFmtId="10" showAll="0">
      <items count="7">
        <item x="1"/>
        <item x="0"/>
        <item x="4"/>
        <item x="2"/>
        <item x="5"/>
        <item x="3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FY2022" fld="1" baseField="0" baseItem="0"/>
    <dataField name="Sum of FY2023" fld="2" baseField="0" baseItem="0" numFmtId="10"/>
    <dataField name="Sum of FY2024" fld="3" baseField="0" baseItem="0" numFmtId="10"/>
    <dataField name="Sum of FY2025" fld="4" baseField="0" baseItem="0" numFmtId="10"/>
    <dataField name="Sum of FY2026" fld="5" baseField="0" baseItem="0" numFmtId="1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400000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7:F21" firstHeaderRow="0" firstDataRow="1" firstDataCol="1"/>
  <pivotFields count="6">
    <pivotField axis="axisRow" showAll="0">
      <items count="4">
        <item x="1"/>
        <item x="0"/>
        <item x="2"/>
        <item t="default"/>
      </items>
    </pivotField>
    <pivotField dataField="1" numFmtId="9" showAll="0"/>
    <pivotField dataField="1" numFmtId="9" showAll="0"/>
    <pivotField dataField="1" numFmtId="9" showAll="0"/>
    <pivotField dataField="1" numFmtId="9" showAll="0"/>
    <pivotField dataField="1" numFmtId="9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FY2022" fld="1" baseField="0" baseItem="0" numFmtId="9"/>
    <dataField name="Sum of FY2023" fld="2" baseField="0" baseItem="0" numFmtId="9"/>
    <dataField name="Sum of FY2024" fld="3" baseField="0" baseItem="0" numFmtId="9"/>
    <dataField name="Sum of FY2025" fld="4" baseField="0" baseItem="0" numFmtId="9"/>
    <dataField name="Sum of FY2026" fld="5" baseField="0" baseItem="0" numFmtId="9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3000000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4:F28" firstHeaderRow="0" firstDataRow="1" firstDataCol="1"/>
  <pivotFields count="6">
    <pivotField axis="axisRow" showAll="0">
      <items count="4">
        <item x="1"/>
        <item x="0"/>
        <item x="2"/>
        <item t="default"/>
      </items>
    </pivotField>
    <pivotField dataField="1" numFmtId="10" showAll="0"/>
    <pivotField dataField="1" numFmtId="10" showAll="0"/>
    <pivotField dataField="1" numFmtId="10" showAll="0"/>
    <pivotField dataField="1" numFmtId="10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FY2022" fld="1" baseField="0" baseItem="0" numFmtId="10"/>
    <dataField name="Sum of FY2023" fld="2" baseField="0" baseItem="0" numFmtId="10"/>
    <dataField name="Sum of FY2024" fld="3" baseField="0" baseItem="0" numFmtId="10"/>
    <dataField name="Sum of FY2025" fld="4" baseField="0" baseItem="0" numFmtId="10"/>
    <dataField name="Sum of FY2026" fld="5" baseField="0" baseItem="0" numFmtId="1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zoomScaleNormal="100" workbookViewId="0">
      <selection sqref="A1:F1"/>
    </sheetView>
  </sheetViews>
  <sheetFormatPr defaultColWidth="8.6640625" defaultRowHeight="14.4" x14ac:dyDescent="0.3"/>
  <cols>
    <col min="1" max="1" width="34" customWidth="1"/>
    <col min="2" max="6" width="13" customWidth="1"/>
  </cols>
  <sheetData>
    <row r="1" spans="1:6" ht="15.75" customHeight="1" x14ac:dyDescent="0.3">
      <c r="A1" s="36" t="s">
        <v>1</v>
      </c>
      <c r="B1" s="37"/>
      <c r="C1" s="37"/>
      <c r="D1" s="37"/>
      <c r="E1" s="37"/>
      <c r="F1" s="37"/>
    </row>
    <row r="3" spans="1:6" ht="15" customHeight="1" x14ac:dyDescent="0.3">
      <c r="A3" s="2" t="s">
        <v>2</v>
      </c>
    </row>
    <row r="4" spans="1:6" ht="15" customHeight="1" x14ac:dyDescent="0.3">
      <c r="A4" s="3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</row>
    <row r="5" spans="1:6" ht="15" customHeight="1" x14ac:dyDescent="0.3">
      <c r="A5" s="5" t="s">
        <v>9</v>
      </c>
      <c r="B5" s="6">
        <v>52446</v>
      </c>
      <c r="C5" s="6">
        <v>60580</v>
      </c>
      <c r="D5" s="6">
        <v>61896</v>
      </c>
      <c r="E5" s="6">
        <v>61328</v>
      </c>
      <c r="F5" s="6">
        <v>64468</v>
      </c>
    </row>
    <row r="6" spans="1:6" ht="15" customHeight="1" x14ac:dyDescent="0.3">
      <c r="A6" s="5" t="s">
        <v>10</v>
      </c>
      <c r="B6" s="6">
        <v>25944</v>
      </c>
      <c r="C6" s="6">
        <v>31939</v>
      </c>
      <c r="D6" s="6">
        <v>29987</v>
      </c>
      <c r="E6" s="6">
        <v>29961</v>
      </c>
      <c r="F6" s="6">
        <v>31858</v>
      </c>
    </row>
    <row r="7" spans="1:6" ht="15" customHeight="1" x14ac:dyDescent="0.3">
      <c r="A7" s="3" t="s">
        <v>11</v>
      </c>
      <c r="B7" s="3">
        <v>26502</v>
      </c>
      <c r="C7" s="3">
        <v>28641</v>
      </c>
      <c r="D7" s="3">
        <v>31909</v>
      </c>
      <c r="E7" s="3">
        <v>31367</v>
      </c>
      <c r="F7" s="3">
        <v>32610</v>
      </c>
    </row>
    <row r="8" spans="1:6" ht="15" customHeight="1" x14ac:dyDescent="0.3">
      <c r="A8" s="5" t="s">
        <v>12</v>
      </c>
      <c r="B8" s="6">
        <v>7390</v>
      </c>
      <c r="C8" s="6">
        <v>7864</v>
      </c>
      <c r="D8" s="6">
        <v>9612</v>
      </c>
      <c r="E8" s="6">
        <v>8975</v>
      </c>
      <c r="F8" s="6">
        <v>9473</v>
      </c>
    </row>
    <row r="9" spans="1:6" ht="15" customHeight="1" x14ac:dyDescent="0.3">
      <c r="A9" s="5" t="s">
        <v>13</v>
      </c>
      <c r="B9" s="6">
        <v>7365</v>
      </c>
      <c r="C9" s="6">
        <v>7790</v>
      </c>
      <c r="D9" s="6">
        <v>8883</v>
      </c>
      <c r="E9" s="6">
        <v>8973</v>
      </c>
      <c r="F9" s="6">
        <v>9453</v>
      </c>
    </row>
    <row r="10" spans="1:6" ht="15" customHeight="1" x14ac:dyDescent="0.3">
      <c r="A10" s="3" t="s">
        <v>14</v>
      </c>
      <c r="B10" s="3">
        <v>11747</v>
      </c>
      <c r="C10" s="3">
        <v>12987</v>
      </c>
      <c r="D10" s="3">
        <v>13414</v>
      </c>
      <c r="E10" s="3">
        <v>13419</v>
      </c>
      <c r="F10" s="3">
        <v>13684</v>
      </c>
    </row>
    <row r="11" spans="1:6" ht="15" customHeight="1" x14ac:dyDescent="0.3">
      <c r="A11" s="5" t="s">
        <v>15</v>
      </c>
      <c r="B11" s="6">
        <v>-82</v>
      </c>
      <c r="C11" s="6">
        <v>-88</v>
      </c>
      <c r="D11" s="6">
        <v>-281</v>
      </c>
      <c r="E11" s="6">
        <v>-331</v>
      </c>
      <c r="F11" s="6">
        <v>-334</v>
      </c>
    </row>
    <row r="12" spans="1:6" ht="15" customHeight="1" x14ac:dyDescent="0.3">
      <c r="A12" s="5" t="s">
        <v>16</v>
      </c>
      <c r="B12" s="6">
        <v>199</v>
      </c>
      <c r="C12" s="6">
        <v>413</v>
      </c>
      <c r="D12" s="6">
        <v>549</v>
      </c>
      <c r="E12" s="6">
        <v>755</v>
      </c>
      <c r="F12" s="6">
        <v>551</v>
      </c>
    </row>
    <row r="13" spans="1:6" ht="15" customHeight="1" x14ac:dyDescent="0.3">
      <c r="A13" s="5" t="s">
        <v>17</v>
      </c>
      <c r="B13" s="6">
        <v>10</v>
      </c>
      <c r="C13" s="6">
        <v>32</v>
      </c>
      <c r="D13" s="6">
        <v>244</v>
      </c>
      <c r="E13" s="6">
        <v>585</v>
      </c>
      <c r="F13" s="6">
        <v>-89</v>
      </c>
    </row>
    <row r="14" spans="1:6" ht="15" customHeight="1" x14ac:dyDescent="0.3">
      <c r="A14" s="3" t="s">
        <v>18</v>
      </c>
      <c r="B14" s="3">
        <v>11874</v>
      </c>
      <c r="C14" s="3">
        <v>13344</v>
      </c>
      <c r="D14" s="3">
        <v>13926</v>
      </c>
      <c r="E14" s="3">
        <v>14428</v>
      </c>
      <c r="F14" s="3">
        <v>13812</v>
      </c>
    </row>
    <row r="15" spans="1:6" ht="15" customHeight="1" x14ac:dyDescent="0.3">
      <c r="A15" s="5" t="s">
        <v>19</v>
      </c>
      <c r="B15" s="6">
        <v>2987</v>
      </c>
      <c r="C15" s="6">
        <v>3201</v>
      </c>
      <c r="D15" s="6">
        <v>3644</v>
      </c>
      <c r="E15" s="6">
        <v>3748</v>
      </c>
      <c r="F15" s="6">
        <v>3160</v>
      </c>
    </row>
    <row r="16" spans="1:6" ht="15" customHeight="1" x14ac:dyDescent="0.3">
      <c r="A16" s="3" t="s">
        <v>20</v>
      </c>
      <c r="B16" s="3">
        <v>8879</v>
      </c>
      <c r="C16" s="3">
        <v>10120</v>
      </c>
      <c r="D16" s="3">
        <v>10277</v>
      </c>
      <c r="E16" s="3">
        <v>10649</v>
      </c>
      <c r="F16" s="3">
        <v>15040</v>
      </c>
    </row>
    <row r="17" spans="1:6" ht="15" customHeight="1" x14ac:dyDescent="0.3">
      <c r="A17" s="3" t="s">
        <v>21</v>
      </c>
      <c r="B17" s="3">
        <v>12403</v>
      </c>
      <c r="C17" s="3">
        <v>13682</v>
      </c>
      <c r="D17" s="3">
        <v>14159</v>
      </c>
      <c r="E17" s="3">
        <v>14234</v>
      </c>
      <c r="F17" s="3">
        <v>14554</v>
      </c>
    </row>
    <row r="18" spans="1:6" ht="15" customHeight="1" x14ac:dyDescent="0.3">
      <c r="A18" s="5" t="s">
        <v>22</v>
      </c>
      <c r="B18" s="6">
        <v>37.79</v>
      </c>
      <c r="C18" s="6">
        <v>43.07</v>
      </c>
      <c r="D18" s="6">
        <v>43.74</v>
      </c>
      <c r="E18" s="6">
        <v>45.32</v>
      </c>
      <c r="F18" s="6">
        <v>64</v>
      </c>
    </row>
    <row r="20" spans="1:6" ht="15" customHeight="1" x14ac:dyDescent="0.3">
      <c r="A20" s="2" t="s">
        <v>23</v>
      </c>
    </row>
    <row r="21" spans="1:6" ht="15" customHeight="1" x14ac:dyDescent="0.3">
      <c r="A21" s="3" t="s">
        <v>3</v>
      </c>
      <c r="B21" s="4" t="s">
        <v>4</v>
      </c>
      <c r="C21" s="4" t="s">
        <v>5</v>
      </c>
      <c r="D21" s="4" t="s">
        <v>6</v>
      </c>
      <c r="E21" s="4" t="s">
        <v>7</v>
      </c>
      <c r="F21" s="4" t="s">
        <v>8</v>
      </c>
    </row>
    <row r="22" spans="1:6" ht="15" customHeight="1" x14ac:dyDescent="0.3">
      <c r="A22" s="5" t="s">
        <v>9</v>
      </c>
      <c r="B22" s="6">
        <v>14136</v>
      </c>
      <c r="C22" s="6">
        <v>16300</v>
      </c>
      <c r="D22" s="6">
        <v>16769</v>
      </c>
      <c r="E22" s="6">
        <v>17942</v>
      </c>
      <c r="F22" s="6">
        <v>18764</v>
      </c>
    </row>
    <row r="23" spans="1:6" ht="15" customHeight="1" x14ac:dyDescent="0.3">
      <c r="A23" s="5" t="s">
        <v>10</v>
      </c>
      <c r="B23" s="6">
        <v>11935</v>
      </c>
      <c r="C23" s="6">
        <v>13470</v>
      </c>
      <c r="D23" s="6">
        <v>13600</v>
      </c>
      <c r="E23" s="6">
        <v>14755</v>
      </c>
      <c r="F23" s="6">
        <v>15295</v>
      </c>
    </row>
    <row r="24" spans="1:6" ht="15" customHeight="1" x14ac:dyDescent="0.3">
      <c r="A24" s="3" t="s">
        <v>24</v>
      </c>
      <c r="B24" s="3">
        <v>2201</v>
      </c>
      <c r="C24" s="3">
        <v>2830</v>
      </c>
      <c r="D24" s="3">
        <v>3169</v>
      </c>
      <c r="E24" s="3">
        <v>3187</v>
      </c>
      <c r="F24" s="3">
        <v>3469</v>
      </c>
    </row>
    <row r="25" spans="1:6" ht="15" customHeight="1" x14ac:dyDescent="0.3">
      <c r="A25" s="5" t="s">
        <v>25</v>
      </c>
      <c r="B25" s="6">
        <v>222</v>
      </c>
      <c r="C25" s="6">
        <v>215</v>
      </c>
      <c r="D25" s="6">
        <v>214</v>
      </c>
      <c r="E25" s="6">
        <v>227</v>
      </c>
      <c r="F25" s="6">
        <v>240</v>
      </c>
    </row>
    <row r="26" spans="1:6" ht="15" customHeight="1" x14ac:dyDescent="0.3">
      <c r="A26" s="3" t="s">
        <v>21</v>
      </c>
      <c r="B26" s="3">
        <v>2423</v>
      </c>
      <c r="C26" s="3">
        <v>3045</v>
      </c>
      <c r="D26" s="3">
        <v>3383</v>
      </c>
      <c r="E26" s="3">
        <v>3414</v>
      </c>
      <c r="F26" s="3">
        <v>3709</v>
      </c>
    </row>
    <row r="27" spans="1:6" ht="15" customHeight="1" x14ac:dyDescent="0.3">
      <c r="A27" s="5" t="s">
        <v>26</v>
      </c>
      <c r="B27" s="6">
        <v>200</v>
      </c>
      <c r="C27" s="6">
        <v>225</v>
      </c>
      <c r="D27" s="6">
        <v>300</v>
      </c>
      <c r="E27" s="6">
        <v>313</v>
      </c>
      <c r="F27" s="6">
        <v>347</v>
      </c>
    </row>
    <row r="28" spans="1:6" ht="15" customHeight="1" x14ac:dyDescent="0.3">
      <c r="A28" s="3" t="s">
        <v>14</v>
      </c>
      <c r="B28" s="3">
        <v>2223</v>
      </c>
      <c r="C28" s="3">
        <v>2820</v>
      </c>
      <c r="D28" s="3">
        <v>3083</v>
      </c>
      <c r="E28" s="3">
        <v>3101</v>
      </c>
      <c r="F28" s="3">
        <v>3362</v>
      </c>
    </row>
    <row r="29" spans="1:6" ht="15" customHeight="1" x14ac:dyDescent="0.3">
      <c r="A29" s="5" t="s">
        <v>15</v>
      </c>
      <c r="B29" s="6">
        <v>-144</v>
      </c>
      <c r="C29" s="6">
        <v>-169</v>
      </c>
      <c r="D29" s="6">
        <v>-164</v>
      </c>
      <c r="E29" s="6">
        <v>-138</v>
      </c>
      <c r="F29" s="6">
        <v>-111</v>
      </c>
    </row>
    <row r="30" spans="1:6" ht="15" customHeight="1" x14ac:dyDescent="0.3">
      <c r="A30" s="3" t="s">
        <v>27</v>
      </c>
      <c r="B30" s="3">
        <v>2079</v>
      </c>
      <c r="C30" s="3">
        <v>2651</v>
      </c>
      <c r="D30" s="3">
        <v>2919</v>
      </c>
      <c r="E30" s="3">
        <v>2963</v>
      </c>
      <c r="F30" s="3">
        <v>3251</v>
      </c>
    </row>
    <row r="31" spans="1:6" ht="15" customHeight="1" x14ac:dyDescent="0.3">
      <c r="A31" s="5" t="s">
        <v>19</v>
      </c>
      <c r="B31" s="6">
        <v>562</v>
      </c>
      <c r="C31" s="6">
        <v>716</v>
      </c>
      <c r="D31" s="6">
        <v>779</v>
      </c>
      <c r="E31" s="6">
        <v>748</v>
      </c>
      <c r="F31" s="6">
        <v>689</v>
      </c>
    </row>
    <row r="32" spans="1:6" ht="15" customHeight="1" x14ac:dyDescent="0.3">
      <c r="A32" s="3" t="s">
        <v>20</v>
      </c>
      <c r="B32" s="3">
        <v>1516</v>
      </c>
      <c r="C32" s="3">
        <v>2310</v>
      </c>
      <c r="D32" s="3">
        <v>2137</v>
      </c>
      <c r="E32" s="3">
        <v>2188</v>
      </c>
      <c r="F32" s="3">
        <v>2562</v>
      </c>
    </row>
    <row r="33" spans="1:6" ht="15" customHeight="1" x14ac:dyDescent="0.3">
      <c r="A33" s="5" t="s">
        <v>22</v>
      </c>
      <c r="B33" s="6">
        <v>63.31</v>
      </c>
      <c r="C33" s="6">
        <v>96.39</v>
      </c>
      <c r="D33" s="6">
        <v>88.84</v>
      </c>
      <c r="E33" s="6">
        <v>90.45</v>
      </c>
      <c r="F33" s="6">
        <v>106.35</v>
      </c>
    </row>
    <row r="35" spans="1:6" ht="15" customHeight="1" x14ac:dyDescent="0.3">
      <c r="A35" s="2" t="s">
        <v>28</v>
      </c>
    </row>
    <row r="36" spans="1:6" ht="15" customHeight="1" x14ac:dyDescent="0.3">
      <c r="A36" s="3" t="s">
        <v>3</v>
      </c>
      <c r="B36" s="4" t="s">
        <v>4</v>
      </c>
      <c r="C36" s="4" t="s">
        <v>5</v>
      </c>
      <c r="D36" s="4" t="s">
        <v>6</v>
      </c>
      <c r="E36" s="4" t="s">
        <v>7</v>
      </c>
      <c r="F36" s="4" t="s">
        <v>8</v>
      </c>
    </row>
    <row r="37" spans="1:6" ht="15" customHeight="1" x14ac:dyDescent="0.3">
      <c r="A37" s="5" t="s">
        <v>9</v>
      </c>
      <c r="B37" s="6">
        <v>14741</v>
      </c>
      <c r="C37" s="6">
        <v>16897</v>
      </c>
      <c r="D37" s="6">
        <v>24394</v>
      </c>
      <c r="E37" s="6">
        <v>20202</v>
      </c>
      <c r="F37" s="6">
        <v>23155</v>
      </c>
    </row>
    <row r="38" spans="1:6" ht="15" customHeight="1" x14ac:dyDescent="0.3">
      <c r="A38" s="3" t="s">
        <v>29</v>
      </c>
      <c r="B38" s="3">
        <v>3562</v>
      </c>
      <c r="C38" s="3">
        <v>3706</v>
      </c>
      <c r="D38" s="3">
        <v>5843</v>
      </c>
      <c r="E38" s="3">
        <v>4747</v>
      </c>
      <c r="F38" s="3">
        <v>5261</v>
      </c>
    </row>
    <row r="39" spans="1:6" ht="15" customHeight="1" x14ac:dyDescent="0.3">
      <c r="A39" s="5" t="s">
        <v>30</v>
      </c>
      <c r="B39" s="6">
        <v>-112</v>
      </c>
      <c r="C39" s="6">
        <v>107</v>
      </c>
      <c r="D39" s="6">
        <v>159</v>
      </c>
      <c r="E39" s="6">
        <v>245</v>
      </c>
      <c r="F39" s="6">
        <v>160</v>
      </c>
    </row>
    <row r="40" spans="1:6" ht="15" customHeight="1" x14ac:dyDescent="0.3">
      <c r="A40" s="3" t="s">
        <v>21</v>
      </c>
      <c r="B40" s="3">
        <v>3450</v>
      </c>
      <c r="C40" s="3">
        <v>3813</v>
      </c>
      <c r="D40" s="3">
        <v>6002</v>
      </c>
      <c r="E40" s="3">
        <v>4992</v>
      </c>
      <c r="F40" s="3">
        <v>5421</v>
      </c>
    </row>
    <row r="41" spans="1:6" ht="15" customHeight="1" x14ac:dyDescent="0.3">
      <c r="A41" s="5" t="s">
        <v>26</v>
      </c>
      <c r="B41" s="6">
        <v>391</v>
      </c>
      <c r="C41" s="6">
        <v>403</v>
      </c>
      <c r="D41" s="6">
        <v>538</v>
      </c>
      <c r="E41" s="6">
        <v>540</v>
      </c>
      <c r="F41" s="6">
        <v>699</v>
      </c>
    </row>
    <row r="42" spans="1:6" ht="15" customHeight="1" x14ac:dyDescent="0.3">
      <c r="A42" s="3" t="s">
        <v>14</v>
      </c>
      <c r="B42" s="3">
        <v>3171</v>
      </c>
      <c r="C42" s="3">
        <v>3303</v>
      </c>
      <c r="D42" s="3">
        <v>5305</v>
      </c>
      <c r="E42" s="3">
        <v>4207</v>
      </c>
      <c r="F42" s="3">
        <v>4562</v>
      </c>
    </row>
    <row r="43" spans="1:6" ht="15" customHeight="1" x14ac:dyDescent="0.3">
      <c r="A43" s="5" t="s">
        <v>15</v>
      </c>
      <c r="B43" s="6">
        <v>-202</v>
      </c>
      <c r="C43" s="6">
        <v>-155</v>
      </c>
      <c r="D43" s="6">
        <v>-145</v>
      </c>
      <c r="E43" s="6">
        <v>-136</v>
      </c>
      <c r="F43" s="6">
        <v>-158</v>
      </c>
    </row>
    <row r="44" spans="1:6" ht="15" customHeight="1" x14ac:dyDescent="0.3">
      <c r="A44" s="3" t="s">
        <v>18</v>
      </c>
      <c r="B44" s="3">
        <v>2857</v>
      </c>
      <c r="C44" s="3">
        <v>3255</v>
      </c>
      <c r="D44" s="3">
        <v>5319</v>
      </c>
      <c r="E44" s="3">
        <v>4316</v>
      </c>
      <c r="F44" s="3">
        <v>4564</v>
      </c>
    </row>
    <row r="45" spans="1:6" ht="15" customHeight="1" x14ac:dyDescent="0.3">
      <c r="A45" s="5" t="s">
        <v>19</v>
      </c>
      <c r="B45" s="6">
        <v>739</v>
      </c>
      <c r="C45" s="6">
        <v>864</v>
      </c>
      <c r="D45" s="6">
        <v>1386</v>
      </c>
      <c r="E45" s="6">
        <v>1108</v>
      </c>
      <c r="F45" s="6">
        <v>1065</v>
      </c>
    </row>
    <row r="46" spans="1:6" ht="15" customHeight="1" x14ac:dyDescent="0.3">
      <c r="A46" s="3" t="s">
        <v>20</v>
      </c>
      <c r="B46" s="3">
        <v>2118</v>
      </c>
      <c r="C46" s="3">
        <v>2391</v>
      </c>
      <c r="D46" s="3">
        <v>3933</v>
      </c>
      <c r="E46" s="3">
        <v>3208</v>
      </c>
      <c r="F46" s="3">
        <v>3499</v>
      </c>
    </row>
    <row r="47" spans="1:6" ht="15" customHeight="1" x14ac:dyDescent="0.3">
      <c r="A47" s="5" t="s">
        <v>22</v>
      </c>
      <c r="B47" s="6" t="s">
        <v>31</v>
      </c>
      <c r="C47" s="6" t="s">
        <v>31</v>
      </c>
      <c r="D47" s="6">
        <v>20.399999999999999</v>
      </c>
      <c r="E47" s="6">
        <v>16.63</v>
      </c>
      <c r="F47" s="6">
        <v>18.149999999999999</v>
      </c>
    </row>
    <row r="49" spans="1:1" ht="15" customHeight="1" x14ac:dyDescent="0.3">
      <c r="A49" s="7" t="s">
        <v>32</v>
      </c>
    </row>
    <row r="50" spans="1:1" ht="15" customHeight="1" x14ac:dyDescent="0.3">
      <c r="A50" s="7" t="s">
        <v>33</v>
      </c>
    </row>
    <row r="51" spans="1:1" ht="15" customHeight="1" x14ac:dyDescent="0.3">
      <c r="A51" s="7" t="s">
        <v>34</v>
      </c>
    </row>
    <row r="52" spans="1:1" ht="15" customHeight="1" x14ac:dyDescent="0.3">
      <c r="A52" s="7" t="s">
        <v>35</v>
      </c>
    </row>
    <row r="53" spans="1:1" ht="15" customHeight="1" x14ac:dyDescent="0.3">
      <c r="A53" s="7" t="s">
        <v>36</v>
      </c>
    </row>
    <row r="54" spans="1:1" ht="15" customHeight="1" x14ac:dyDescent="0.3">
      <c r="A54" s="7" t="s">
        <v>37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"/>
  <sheetViews>
    <sheetView zoomScaleNormal="100" workbookViewId="0">
      <selection sqref="A1:F1"/>
    </sheetView>
  </sheetViews>
  <sheetFormatPr defaultColWidth="8.6640625" defaultRowHeight="14.4" x14ac:dyDescent="0.3"/>
  <cols>
    <col min="1" max="1" width="34" customWidth="1"/>
    <col min="2" max="6" width="13" customWidth="1"/>
  </cols>
  <sheetData>
    <row r="1" spans="1:6" ht="15.75" customHeight="1" x14ac:dyDescent="0.3">
      <c r="A1" s="36" t="s">
        <v>38</v>
      </c>
      <c r="B1" s="37"/>
      <c r="C1" s="37"/>
      <c r="D1" s="37"/>
      <c r="E1" s="37"/>
      <c r="F1" s="37"/>
    </row>
    <row r="3" spans="1:6" ht="15" customHeight="1" x14ac:dyDescent="0.3">
      <c r="A3" s="2" t="s">
        <v>2</v>
      </c>
    </row>
    <row r="4" spans="1:6" ht="15" customHeight="1" x14ac:dyDescent="0.3">
      <c r="A4" s="3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</row>
    <row r="5" spans="1:6" ht="15" customHeight="1" x14ac:dyDescent="0.3">
      <c r="A5" s="5" t="s">
        <v>39</v>
      </c>
      <c r="B5" s="6">
        <v>7142</v>
      </c>
      <c r="C5" s="6">
        <v>7265</v>
      </c>
      <c r="D5" s="6">
        <v>11889</v>
      </c>
      <c r="E5" s="6">
        <v>11053</v>
      </c>
      <c r="F5" s="6">
        <v>6993</v>
      </c>
    </row>
    <row r="6" spans="1:6" ht="15" customHeight="1" x14ac:dyDescent="0.3">
      <c r="A6" s="5" t="s">
        <v>40</v>
      </c>
      <c r="B6" s="6">
        <v>2901</v>
      </c>
      <c r="C6" s="6">
        <v>3865</v>
      </c>
      <c r="D6" s="6">
        <v>3365</v>
      </c>
      <c r="E6" s="6">
        <v>4298</v>
      </c>
      <c r="F6" s="6">
        <v>3945</v>
      </c>
    </row>
    <row r="7" spans="1:6" ht="15" customHeight="1" x14ac:dyDescent="0.3">
      <c r="A7" s="5" t="s">
        <v>41</v>
      </c>
      <c r="B7" s="6">
        <v>4096</v>
      </c>
      <c r="C7" s="6">
        <v>4251</v>
      </c>
      <c r="D7" s="6">
        <v>4022</v>
      </c>
      <c r="E7" s="6">
        <v>4415</v>
      </c>
      <c r="F7" s="6">
        <v>4789</v>
      </c>
    </row>
    <row r="8" spans="1:6" ht="15" customHeight="1" x14ac:dyDescent="0.3">
      <c r="A8" s="5" t="s">
        <v>42</v>
      </c>
      <c r="B8" s="6">
        <v>1383</v>
      </c>
      <c r="C8" s="6">
        <v>1617</v>
      </c>
      <c r="D8" s="6">
        <v>2048</v>
      </c>
      <c r="E8" s="6">
        <v>2285</v>
      </c>
      <c r="F8" s="6">
        <v>3009</v>
      </c>
    </row>
    <row r="9" spans="1:6" ht="15" customHeight="1" x14ac:dyDescent="0.3">
      <c r="A9" s="3" t="s">
        <v>43</v>
      </c>
      <c r="B9" s="3">
        <v>15522</v>
      </c>
      <c r="C9" s="3">
        <v>16998</v>
      </c>
      <c r="D9" s="3">
        <v>21324</v>
      </c>
      <c r="E9" s="3">
        <v>22051</v>
      </c>
      <c r="F9" s="3">
        <v>19021</v>
      </c>
    </row>
    <row r="10" spans="1:6" ht="15" customHeight="1" x14ac:dyDescent="0.3">
      <c r="A10" s="5" t="s">
        <v>44</v>
      </c>
      <c r="B10" s="6">
        <v>7482</v>
      </c>
      <c r="C10" s="6">
        <v>8081</v>
      </c>
      <c r="D10" s="6">
        <v>9056</v>
      </c>
      <c r="E10" s="6">
        <v>9634</v>
      </c>
      <c r="F10" s="6">
        <v>9062</v>
      </c>
    </row>
    <row r="11" spans="1:6" ht="15" customHeight="1" x14ac:dyDescent="0.3">
      <c r="A11" s="5" t="s">
        <v>45</v>
      </c>
      <c r="B11" s="6">
        <v>17397</v>
      </c>
      <c r="C11" s="6">
        <v>17466</v>
      </c>
      <c r="D11" s="6">
        <v>17466</v>
      </c>
      <c r="E11" s="6">
        <v>17466</v>
      </c>
      <c r="F11" s="6">
        <v>18062</v>
      </c>
    </row>
    <row r="12" spans="1:6" ht="15" customHeight="1" x14ac:dyDescent="0.3">
      <c r="A12" s="5" t="s">
        <v>46</v>
      </c>
      <c r="B12" s="6">
        <v>27907</v>
      </c>
      <c r="C12" s="6">
        <v>28263</v>
      </c>
      <c r="D12" s="6">
        <v>28247</v>
      </c>
      <c r="E12" s="6">
        <v>28244</v>
      </c>
      <c r="F12" s="6">
        <v>31184</v>
      </c>
    </row>
    <row r="13" spans="1:6" ht="15" customHeight="1" x14ac:dyDescent="0.3">
      <c r="A13" s="5" t="s">
        <v>47</v>
      </c>
      <c r="B13" s="6">
        <v>2094</v>
      </c>
      <c r="C13" s="6">
        <v>2181</v>
      </c>
      <c r="D13" s="6">
        <v>2304</v>
      </c>
      <c r="E13" s="6">
        <v>2398</v>
      </c>
      <c r="F13" s="6">
        <v>2338</v>
      </c>
    </row>
    <row r="14" spans="1:6" ht="15" customHeight="1" x14ac:dyDescent="0.3">
      <c r="A14" s="3" t="s">
        <v>48</v>
      </c>
      <c r="B14" s="3">
        <v>70517</v>
      </c>
      <c r="C14" s="3">
        <v>73087</v>
      </c>
      <c r="D14" s="3">
        <v>78499</v>
      </c>
      <c r="E14" s="3">
        <v>79880</v>
      </c>
      <c r="F14" s="3">
        <v>79752</v>
      </c>
    </row>
    <row r="15" spans="1:6" ht="15" customHeight="1" x14ac:dyDescent="0.3">
      <c r="A15" s="5" t="s">
        <v>49</v>
      </c>
      <c r="B15" s="6">
        <v>9327</v>
      </c>
      <c r="C15" s="6">
        <v>9859</v>
      </c>
      <c r="D15" s="6">
        <v>10563</v>
      </c>
      <c r="E15" s="6">
        <v>11378</v>
      </c>
      <c r="F15" s="6">
        <v>13385</v>
      </c>
    </row>
    <row r="16" spans="1:6" ht="15" customHeight="1" x14ac:dyDescent="0.3">
      <c r="A16" s="5" t="s">
        <v>50</v>
      </c>
      <c r="B16" s="6">
        <v>30</v>
      </c>
      <c r="C16" s="6">
        <v>41</v>
      </c>
      <c r="D16" s="6">
        <v>38</v>
      </c>
      <c r="E16" s="6">
        <v>41</v>
      </c>
      <c r="F16" s="6">
        <v>37</v>
      </c>
    </row>
    <row r="17" spans="1:6" ht="15" customHeight="1" x14ac:dyDescent="0.3">
      <c r="A17" s="5" t="s">
        <v>51</v>
      </c>
      <c r="B17" s="6">
        <v>165</v>
      </c>
      <c r="C17" s="6">
        <v>176</v>
      </c>
      <c r="D17" s="6">
        <v>194</v>
      </c>
      <c r="E17" s="6">
        <v>475</v>
      </c>
      <c r="F17" s="6">
        <v>179</v>
      </c>
    </row>
    <row r="18" spans="1:6" ht="15" customHeight="1" x14ac:dyDescent="0.3">
      <c r="A18" s="3" t="s">
        <v>52</v>
      </c>
      <c r="B18" s="3">
        <v>11280</v>
      </c>
      <c r="C18" s="3">
        <v>12028</v>
      </c>
      <c r="D18" s="3">
        <v>12879</v>
      </c>
      <c r="E18" s="3">
        <v>16537</v>
      </c>
      <c r="F18" s="3">
        <v>15549</v>
      </c>
    </row>
    <row r="19" spans="1:6" ht="15" customHeight="1" x14ac:dyDescent="0.3">
      <c r="A19" s="5" t="s">
        <v>53</v>
      </c>
      <c r="B19" s="6">
        <v>741</v>
      </c>
      <c r="C19" s="6">
        <v>807</v>
      </c>
      <c r="D19" s="6">
        <v>1106</v>
      </c>
      <c r="E19" s="6">
        <v>1243</v>
      </c>
      <c r="F19" s="6">
        <v>1104</v>
      </c>
    </row>
    <row r="20" spans="1:6" ht="15" customHeight="1" x14ac:dyDescent="0.3">
      <c r="A20" s="5" t="s">
        <v>54</v>
      </c>
      <c r="B20" s="6">
        <v>941</v>
      </c>
      <c r="C20" s="6">
        <v>973</v>
      </c>
      <c r="D20" s="6">
        <v>1309</v>
      </c>
      <c r="E20" s="6">
        <v>1249</v>
      </c>
      <c r="F20" s="6">
        <v>1409</v>
      </c>
    </row>
    <row r="21" spans="1:6" ht="15" customHeight="1" x14ac:dyDescent="0.3">
      <c r="A21" s="3" t="s">
        <v>55</v>
      </c>
      <c r="B21" s="3">
        <v>21430</v>
      </c>
      <c r="C21" s="3">
        <v>22565</v>
      </c>
      <c r="D21" s="3">
        <v>27076</v>
      </c>
      <c r="E21" s="3">
        <v>30271</v>
      </c>
      <c r="F21" s="3">
        <v>30744</v>
      </c>
    </row>
    <row r="22" spans="1:6" ht="15" customHeight="1" x14ac:dyDescent="0.3">
      <c r="A22" s="3" t="s">
        <v>56</v>
      </c>
      <c r="B22" s="3">
        <v>49087</v>
      </c>
      <c r="C22" s="3">
        <v>50522</v>
      </c>
      <c r="D22" s="3">
        <v>51423</v>
      </c>
      <c r="E22" s="3">
        <v>49609</v>
      </c>
      <c r="F22" s="3">
        <v>49008</v>
      </c>
    </row>
    <row r="23" spans="1:6" ht="15" customHeight="1" x14ac:dyDescent="0.3">
      <c r="A23" s="3" t="s">
        <v>57</v>
      </c>
      <c r="B23" s="3">
        <v>70517</v>
      </c>
      <c r="C23" s="3">
        <v>73087</v>
      </c>
      <c r="D23" s="3">
        <v>78499</v>
      </c>
      <c r="E23" s="3">
        <v>79880</v>
      </c>
      <c r="F23" s="3">
        <v>79752</v>
      </c>
    </row>
    <row r="25" spans="1:6" ht="15" customHeight="1" x14ac:dyDescent="0.3">
      <c r="A25" s="2" t="s">
        <v>23</v>
      </c>
    </row>
    <row r="26" spans="1:6" ht="15" customHeight="1" x14ac:dyDescent="0.3">
      <c r="A26" s="3" t="s">
        <v>3</v>
      </c>
      <c r="B26" s="4" t="s">
        <v>4</v>
      </c>
      <c r="C26" s="4" t="s">
        <v>5</v>
      </c>
      <c r="D26" s="4" t="s">
        <v>6</v>
      </c>
      <c r="E26" s="4" t="s">
        <v>7</v>
      </c>
      <c r="F26" s="4" t="s">
        <v>8</v>
      </c>
    </row>
    <row r="27" spans="1:6" ht="15" customHeight="1" x14ac:dyDescent="0.3">
      <c r="A27" s="5" t="s">
        <v>58</v>
      </c>
      <c r="B27" s="6">
        <v>185</v>
      </c>
      <c r="C27" s="6">
        <v>198</v>
      </c>
      <c r="D27" s="6">
        <v>446</v>
      </c>
      <c r="E27" s="6">
        <v>312</v>
      </c>
      <c r="F27" s="6">
        <v>352</v>
      </c>
    </row>
    <row r="28" spans="1:6" ht="15" customHeight="1" x14ac:dyDescent="0.3">
      <c r="A28" s="5" t="s">
        <v>59</v>
      </c>
      <c r="B28" s="6">
        <v>332</v>
      </c>
      <c r="C28" s="6">
        <v>329</v>
      </c>
      <c r="D28" s="6">
        <v>393</v>
      </c>
      <c r="E28" s="6">
        <v>449</v>
      </c>
      <c r="F28" s="6">
        <v>469</v>
      </c>
    </row>
    <row r="29" spans="1:6" ht="15" customHeight="1" x14ac:dyDescent="0.3">
      <c r="A29" s="5" t="s">
        <v>60</v>
      </c>
      <c r="B29" s="6">
        <v>1367</v>
      </c>
      <c r="C29" s="6">
        <v>1193</v>
      </c>
      <c r="D29" s="6">
        <v>1181</v>
      </c>
      <c r="E29" s="6">
        <v>1237</v>
      </c>
      <c r="F29" s="6">
        <v>1346</v>
      </c>
    </row>
    <row r="30" spans="1:6" ht="15" customHeight="1" x14ac:dyDescent="0.3">
      <c r="A30" s="5" t="s">
        <v>61</v>
      </c>
      <c r="B30" s="6">
        <v>2052</v>
      </c>
      <c r="C30" s="6">
        <v>3590</v>
      </c>
      <c r="D30" s="6">
        <v>2919</v>
      </c>
      <c r="E30" s="6">
        <v>3007</v>
      </c>
      <c r="F30" s="6">
        <v>3761</v>
      </c>
    </row>
    <row r="31" spans="1:6" ht="15" customHeight="1" x14ac:dyDescent="0.3">
      <c r="A31" s="5" t="s">
        <v>62</v>
      </c>
      <c r="B31" s="6">
        <v>2275</v>
      </c>
      <c r="C31" s="6">
        <v>2720</v>
      </c>
      <c r="D31" s="6">
        <v>2931</v>
      </c>
      <c r="E31" s="6">
        <v>2964</v>
      </c>
      <c r="F31" s="6">
        <v>2861</v>
      </c>
    </row>
    <row r="32" spans="1:6" ht="15" customHeight="1" x14ac:dyDescent="0.3">
      <c r="A32" s="3" t="s">
        <v>48</v>
      </c>
      <c r="B32" s="3">
        <v>7476</v>
      </c>
      <c r="C32" s="3">
        <v>9295</v>
      </c>
      <c r="D32" s="3">
        <v>9030</v>
      </c>
      <c r="E32" s="3">
        <v>8802</v>
      </c>
      <c r="F32" s="3">
        <v>9689</v>
      </c>
    </row>
    <row r="33" spans="1:6" ht="15" customHeight="1" x14ac:dyDescent="0.3">
      <c r="A33" s="5" t="s">
        <v>63</v>
      </c>
      <c r="B33" s="6">
        <v>2466</v>
      </c>
      <c r="C33" s="6">
        <v>2981</v>
      </c>
      <c r="D33" s="6">
        <v>2041</v>
      </c>
      <c r="E33" s="6">
        <v>1225</v>
      </c>
      <c r="F33" s="6">
        <v>1358</v>
      </c>
    </row>
    <row r="34" spans="1:6" ht="15" customHeight="1" x14ac:dyDescent="0.3">
      <c r="A34" s="5" t="s">
        <v>64</v>
      </c>
      <c r="B34" s="6">
        <v>2425</v>
      </c>
      <c r="C34" s="6">
        <v>2750</v>
      </c>
      <c r="D34" s="6">
        <v>3022</v>
      </c>
      <c r="E34" s="6">
        <v>3196</v>
      </c>
      <c r="F34" s="6">
        <v>3195</v>
      </c>
    </row>
    <row r="35" spans="1:6" ht="15" customHeight="1" x14ac:dyDescent="0.3">
      <c r="A35" s="3" t="s">
        <v>55</v>
      </c>
      <c r="B35" s="3">
        <v>4891</v>
      </c>
      <c r="C35" s="3">
        <v>5731</v>
      </c>
      <c r="D35" s="3">
        <v>5063</v>
      </c>
      <c r="E35" s="3">
        <v>4421</v>
      </c>
      <c r="F35" s="3">
        <v>4553</v>
      </c>
    </row>
    <row r="36" spans="1:6" ht="15" customHeight="1" x14ac:dyDescent="0.3">
      <c r="A36" s="5" t="s">
        <v>65</v>
      </c>
      <c r="B36" s="6">
        <v>2558</v>
      </c>
      <c r="C36" s="6">
        <v>3534</v>
      </c>
      <c r="D36" s="6">
        <v>3942</v>
      </c>
      <c r="E36" s="6">
        <v>4356</v>
      </c>
      <c r="F36" s="6">
        <v>5107</v>
      </c>
    </row>
    <row r="37" spans="1:6" ht="15" customHeight="1" x14ac:dyDescent="0.3">
      <c r="A37" s="5" t="s">
        <v>66</v>
      </c>
      <c r="B37" s="6">
        <v>28</v>
      </c>
      <c r="C37" s="6">
        <v>30</v>
      </c>
      <c r="D37" s="6">
        <v>25</v>
      </c>
      <c r="E37" s="6">
        <v>26</v>
      </c>
      <c r="F37" s="6">
        <v>29</v>
      </c>
    </row>
    <row r="38" spans="1:6" ht="15" customHeight="1" x14ac:dyDescent="0.3">
      <c r="A38" s="3" t="s">
        <v>67</v>
      </c>
      <c r="B38" s="3">
        <v>2586</v>
      </c>
      <c r="C38" s="3">
        <v>3564</v>
      </c>
      <c r="D38" s="3">
        <v>3966</v>
      </c>
      <c r="E38" s="3">
        <v>4381</v>
      </c>
      <c r="F38" s="3">
        <v>5136</v>
      </c>
    </row>
    <row r="39" spans="1:6" ht="15" customHeight="1" x14ac:dyDescent="0.3">
      <c r="A39" s="3" t="s">
        <v>57</v>
      </c>
      <c r="B39" s="3">
        <v>7476</v>
      </c>
      <c r="C39" s="3">
        <v>9295</v>
      </c>
      <c r="D39" s="3">
        <v>9030</v>
      </c>
      <c r="E39" s="3">
        <v>8802</v>
      </c>
      <c r="F39" s="3">
        <v>9689</v>
      </c>
    </row>
    <row r="41" spans="1:6" ht="15" customHeight="1" x14ac:dyDescent="0.3">
      <c r="A41" s="2" t="s">
        <v>28</v>
      </c>
    </row>
    <row r="42" spans="1:6" ht="15" customHeight="1" x14ac:dyDescent="0.3">
      <c r="A42" s="3" t="s">
        <v>3</v>
      </c>
      <c r="B42" s="4" t="s">
        <v>4</v>
      </c>
      <c r="C42" s="4" t="s">
        <v>5</v>
      </c>
      <c r="D42" s="4" t="s">
        <v>6</v>
      </c>
      <c r="E42" s="4" t="s">
        <v>7</v>
      </c>
      <c r="F42" s="4" t="s">
        <v>8</v>
      </c>
    </row>
    <row r="43" spans="1:6" ht="15" customHeight="1" x14ac:dyDescent="0.3">
      <c r="A43" s="5" t="s">
        <v>62</v>
      </c>
      <c r="B43" s="6">
        <v>3241</v>
      </c>
      <c r="C43" s="6">
        <v>3402</v>
      </c>
      <c r="D43" s="6">
        <v>5202</v>
      </c>
      <c r="E43" s="6">
        <v>6647</v>
      </c>
      <c r="F43" s="6">
        <v>6797</v>
      </c>
    </row>
    <row r="44" spans="1:6" ht="15" customHeight="1" x14ac:dyDescent="0.3">
      <c r="A44" s="5" t="s">
        <v>61</v>
      </c>
      <c r="B44" s="6">
        <v>774</v>
      </c>
      <c r="C44" s="6">
        <v>778</v>
      </c>
      <c r="D44" s="6">
        <v>464</v>
      </c>
      <c r="E44" s="6">
        <v>575</v>
      </c>
      <c r="F44" s="6">
        <v>531</v>
      </c>
    </row>
    <row r="45" spans="1:6" ht="15" customHeight="1" x14ac:dyDescent="0.3">
      <c r="A45" s="5" t="s">
        <v>68</v>
      </c>
      <c r="B45" s="6">
        <v>1503</v>
      </c>
      <c r="C45" s="6">
        <v>1772</v>
      </c>
      <c r="D45" s="6">
        <v>4857</v>
      </c>
      <c r="E45" s="6">
        <v>4972</v>
      </c>
      <c r="F45" s="6">
        <v>5854</v>
      </c>
    </row>
    <row r="46" spans="1:6" ht="15" customHeight="1" x14ac:dyDescent="0.3">
      <c r="A46" s="3" t="s">
        <v>48</v>
      </c>
      <c r="B46" s="3">
        <v>5518</v>
      </c>
      <c r="C46" s="3">
        <v>5952</v>
      </c>
      <c r="D46" s="3">
        <v>10523</v>
      </c>
      <c r="E46" s="3">
        <v>12193</v>
      </c>
      <c r="F46" s="3">
        <v>13182</v>
      </c>
    </row>
    <row r="47" spans="1:6" ht="15" customHeight="1" x14ac:dyDescent="0.3">
      <c r="A47" s="5" t="s">
        <v>63</v>
      </c>
      <c r="B47" s="6">
        <v>266</v>
      </c>
      <c r="C47" s="6">
        <v>271</v>
      </c>
      <c r="D47" s="6">
        <v>345</v>
      </c>
      <c r="E47" s="6">
        <v>1167</v>
      </c>
      <c r="F47" s="6">
        <v>444</v>
      </c>
    </row>
    <row r="48" spans="1:6" ht="15" customHeight="1" x14ac:dyDescent="0.3">
      <c r="A48" s="5" t="s">
        <v>64</v>
      </c>
      <c r="B48" s="6">
        <v>3305</v>
      </c>
      <c r="C48" s="6">
        <v>3223</v>
      </c>
      <c r="D48" s="6">
        <v>6837</v>
      </c>
      <c r="E48" s="6">
        <v>7016</v>
      </c>
      <c r="F48" s="6">
        <v>7581</v>
      </c>
    </row>
    <row r="49" spans="1:6" ht="15" customHeight="1" x14ac:dyDescent="0.3">
      <c r="A49" s="3" t="s">
        <v>55</v>
      </c>
      <c r="B49" s="3">
        <v>3571</v>
      </c>
      <c r="C49" s="3">
        <v>3494</v>
      </c>
      <c r="D49" s="3">
        <v>7182</v>
      </c>
      <c r="E49" s="3">
        <v>8183</v>
      </c>
      <c r="F49" s="3">
        <v>8025</v>
      </c>
    </row>
    <row r="50" spans="1:6" ht="15" customHeight="1" x14ac:dyDescent="0.3">
      <c r="A50" s="3" t="s">
        <v>56</v>
      </c>
      <c r="B50" s="3">
        <v>1946</v>
      </c>
      <c r="C50" s="3">
        <v>2459</v>
      </c>
      <c r="D50" s="3">
        <v>3341</v>
      </c>
      <c r="E50" s="3">
        <v>4010</v>
      </c>
      <c r="F50" s="3">
        <v>5157</v>
      </c>
    </row>
    <row r="51" spans="1:6" ht="15" customHeight="1" x14ac:dyDescent="0.3">
      <c r="A51" s="3" t="s">
        <v>57</v>
      </c>
      <c r="B51" s="3">
        <v>5518</v>
      </c>
      <c r="C51" s="3">
        <v>5952</v>
      </c>
      <c r="D51" s="3">
        <v>10523</v>
      </c>
      <c r="E51" s="3">
        <v>12193</v>
      </c>
      <c r="F51" s="3">
        <v>13182</v>
      </c>
    </row>
    <row r="53" spans="1:6" ht="15" customHeight="1" x14ac:dyDescent="0.3">
      <c r="A53" s="7" t="s">
        <v>32</v>
      </c>
    </row>
    <row r="54" spans="1:6" ht="15" customHeight="1" x14ac:dyDescent="0.3">
      <c r="A54" s="7" t="s">
        <v>69</v>
      </c>
    </row>
    <row r="55" spans="1:6" ht="15" customHeight="1" x14ac:dyDescent="0.3">
      <c r="A55" s="7" t="s">
        <v>70</v>
      </c>
    </row>
    <row r="56" spans="1:6" ht="15" customHeight="1" x14ac:dyDescent="0.3">
      <c r="A56" s="7" t="s">
        <v>71</v>
      </c>
    </row>
    <row r="57" spans="1:6" ht="15" customHeight="1" x14ac:dyDescent="0.3">
      <c r="A57" s="7" t="s">
        <v>72</v>
      </c>
    </row>
    <row r="58" spans="1:6" ht="15" customHeight="1" x14ac:dyDescent="0.3">
      <c r="A58" s="7" t="s">
        <v>73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0"/>
  <sheetViews>
    <sheetView zoomScaleNormal="100" workbookViewId="0">
      <selection sqref="A1:F1"/>
    </sheetView>
  </sheetViews>
  <sheetFormatPr defaultColWidth="8.6640625" defaultRowHeight="14.4" x14ac:dyDescent="0.3"/>
  <cols>
    <col min="1" max="1" width="34" customWidth="1"/>
    <col min="2" max="6" width="13" customWidth="1"/>
  </cols>
  <sheetData>
    <row r="1" spans="1:6" ht="15.75" customHeight="1" x14ac:dyDescent="0.3">
      <c r="A1" s="36" t="s">
        <v>74</v>
      </c>
      <c r="B1" s="37"/>
      <c r="C1" s="37"/>
      <c r="D1" s="37"/>
      <c r="E1" s="37"/>
      <c r="F1" s="37"/>
    </row>
    <row r="3" spans="1:6" ht="15" customHeight="1" x14ac:dyDescent="0.3">
      <c r="A3" s="2" t="s">
        <v>2</v>
      </c>
    </row>
    <row r="4" spans="1:6" ht="15" customHeight="1" x14ac:dyDescent="0.3">
      <c r="A4" s="3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</row>
    <row r="5" spans="1:6" ht="15" customHeight="1" x14ac:dyDescent="0.3">
      <c r="A5" s="5" t="s">
        <v>20</v>
      </c>
      <c r="B5" s="6">
        <v>8879</v>
      </c>
      <c r="C5" s="6">
        <v>10120</v>
      </c>
      <c r="D5" s="6">
        <v>10277</v>
      </c>
      <c r="E5" s="6">
        <v>10649</v>
      </c>
      <c r="F5" s="6">
        <v>15040</v>
      </c>
    </row>
    <row r="6" spans="1:6" ht="15" customHeight="1" x14ac:dyDescent="0.3">
      <c r="A6" s="5" t="s">
        <v>26</v>
      </c>
      <c r="B6" s="6">
        <v>1084</v>
      </c>
      <c r="C6" s="6">
        <v>1132</v>
      </c>
      <c r="D6" s="6">
        <v>1207</v>
      </c>
      <c r="E6" s="6">
        <v>1345</v>
      </c>
      <c r="F6" s="6">
        <v>1415</v>
      </c>
    </row>
    <row r="7" spans="1:6" ht="15" customHeight="1" x14ac:dyDescent="0.3">
      <c r="A7" s="5" t="s">
        <v>75</v>
      </c>
      <c r="B7" s="6">
        <v>-1000</v>
      </c>
      <c r="C7" s="6">
        <v>-960</v>
      </c>
      <c r="D7" s="6">
        <v>1313</v>
      </c>
      <c r="E7" s="6">
        <v>-788</v>
      </c>
      <c r="F7" s="6">
        <v>686</v>
      </c>
    </row>
    <row r="8" spans="1:6" ht="15" customHeight="1" x14ac:dyDescent="0.3">
      <c r="A8" s="3" t="s">
        <v>76</v>
      </c>
      <c r="B8" s="3">
        <v>9048</v>
      </c>
      <c r="C8" s="3">
        <v>9991</v>
      </c>
      <c r="D8" s="3">
        <v>15469</v>
      </c>
      <c r="E8" s="3">
        <v>11886</v>
      </c>
      <c r="F8" s="3">
        <v>10999</v>
      </c>
    </row>
    <row r="9" spans="1:6" ht="15" customHeight="1" x14ac:dyDescent="0.3">
      <c r="A9" s="5" t="s">
        <v>77</v>
      </c>
      <c r="B9" s="6">
        <v>-1225</v>
      </c>
      <c r="C9" s="6">
        <v>-1174</v>
      </c>
      <c r="D9" s="6">
        <v>-1468</v>
      </c>
      <c r="E9" s="6">
        <v>-1254</v>
      </c>
      <c r="F9" s="6">
        <v>-1258</v>
      </c>
    </row>
    <row r="10" spans="1:6" ht="15" customHeight="1" x14ac:dyDescent="0.3">
      <c r="A10" s="5" t="s">
        <v>78</v>
      </c>
      <c r="B10" s="6">
        <v>-503</v>
      </c>
      <c r="C10" s="6">
        <v>-320</v>
      </c>
      <c r="D10" s="6">
        <v>-3856</v>
      </c>
      <c r="E10" s="6">
        <v>7727</v>
      </c>
      <c r="F10" s="6">
        <v>-2426</v>
      </c>
    </row>
    <row r="11" spans="1:6" ht="15" customHeight="1" x14ac:dyDescent="0.3">
      <c r="A11" s="3" t="s">
        <v>79</v>
      </c>
      <c r="B11" s="3">
        <v>-1728</v>
      </c>
      <c r="C11" s="3">
        <v>-1494</v>
      </c>
      <c r="D11" s="3">
        <v>-5324</v>
      </c>
      <c r="E11" s="3">
        <v>6473</v>
      </c>
      <c r="F11" s="3">
        <v>-3684</v>
      </c>
    </row>
    <row r="12" spans="1:6" ht="15" customHeight="1" x14ac:dyDescent="0.3">
      <c r="A12" s="5" t="s">
        <v>80</v>
      </c>
      <c r="B12" s="6">
        <v>-352</v>
      </c>
      <c r="C12" s="6">
        <v>-389</v>
      </c>
      <c r="D12" s="6">
        <v>-508</v>
      </c>
      <c r="E12" s="6">
        <v>-498</v>
      </c>
      <c r="F12" s="6">
        <v>-553</v>
      </c>
    </row>
    <row r="13" spans="1:6" ht="15" customHeight="1" x14ac:dyDescent="0.3">
      <c r="A13" s="5" t="s">
        <v>81</v>
      </c>
      <c r="B13" s="6">
        <v>-7519</v>
      </c>
      <c r="C13" s="6">
        <v>-8474</v>
      </c>
      <c r="D13" s="6">
        <v>-9398</v>
      </c>
      <c r="E13" s="6">
        <v>-12453</v>
      </c>
      <c r="F13" s="6">
        <v>-10103</v>
      </c>
    </row>
    <row r="14" spans="1:6" ht="15" customHeight="1" x14ac:dyDescent="0.3">
      <c r="A14" s="5" t="s">
        <v>82</v>
      </c>
      <c r="B14" s="6">
        <v>-144</v>
      </c>
      <c r="C14" s="6">
        <v>-90</v>
      </c>
      <c r="D14" s="6">
        <v>-128</v>
      </c>
      <c r="E14" s="6">
        <v>-150</v>
      </c>
      <c r="F14" s="6">
        <v>-154</v>
      </c>
    </row>
    <row r="15" spans="1:6" ht="15" customHeight="1" x14ac:dyDescent="0.3">
      <c r="A15" s="3" t="s">
        <v>83</v>
      </c>
      <c r="B15" s="3">
        <v>-8015</v>
      </c>
      <c r="C15" s="3">
        <v>-8953</v>
      </c>
      <c r="D15" s="3">
        <v>-10034</v>
      </c>
      <c r="E15" s="3">
        <v>-13101</v>
      </c>
      <c r="F15" s="3">
        <v>-10810</v>
      </c>
    </row>
    <row r="16" spans="1:6" ht="15" customHeight="1" x14ac:dyDescent="0.3">
      <c r="A16" s="3" t="s">
        <v>84</v>
      </c>
      <c r="B16" s="3">
        <v>-695</v>
      </c>
      <c r="C16" s="3">
        <v>-446</v>
      </c>
      <c r="D16" s="3">
        <v>111</v>
      </c>
      <c r="E16" s="3">
        <v>5258</v>
      </c>
      <c r="F16" s="3">
        <v>-3487</v>
      </c>
    </row>
    <row r="17" spans="1:6" ht="15" customHeight="1" x14ac:dyDescent="0.3">
      <c r="A17" s="3" t="s">
        <v>85</v>
      </c>
      <c r="B17" s="3">
        <v>7823</v>
      </c>
      <c r="C17" s="3">
        <v>8817</v>
      </c>
      <c r="D17" s="3">
        <v>14001</v>
      </c>
      <c r="E17" s="3">
        <v>10632</v>
      </c>
      <c r="F17" s="3">
        <v>9741</v>
      </c>
    </row>
    <row r="19" spans="1:6" ht="15" customHeight="1" x14ac:dyDescent="0.3">
      <c r="A19" s="2" t="s">
        <v>23</v>
      </c>
    </row>
    <row r="20" spans="1:6" ht="15" customHeight="1" x14ac:dyDescent="0.3">
      <c r="A20" s="3" t="s">
        <v>3</v>
      </c>
      <c r="B20" s="4" t="s">
        <v>4</v>
      </c>
      <c r="C20" s="4" t="s">
        <v>5</v>
      </c>
      <c r="D20" s="4" t="s">
        <v>6</v>
      </c>
      <c r="E20" s="4" t="s">
        <v>7</v>
      </c>
      <c r="F20" s="4" t="s">
        <v>8</v>
      </c>
    </row>
    <row r="21" spans="1:6" ht="15" customHeight="1" x14ac:dyDescent="0.3">
      <c r="A21" s="5" t="s">
        <v>86</v>
      </c>
      <c r="B21" s="6">
        <v>2078</v>
      </c>
      <c r="C21" s="6">
        <v>3027</v>
      </c>
      <c r="D21" s="6">
        <v>2916</v>
      </c>
      <c r="E21" s="6">
        <v>2937</v>
      </c>
      <c r="F21" s="6">
        <v>3318</v>
      </c>
    </row>
    <row r="22" spans="1:6" ht="15" customHeight="1" x14ac:dyDescent="0.3">
      <c r="A22" s="3" t="s">
        <v>76</v>
      </c>
      <c r="B22" s="3">
        <v>1299</v>
      </c>
      <c r="C22" s="3">
        <v>2526</v>
      </c>
      <c r="D22" s="3">
        <v>2572</v>
      </c>
      <c r="E22" s="3">
        <v>2490</v>
      </c>
      <c r="F22" s="3">
        <v>2611</v>
      </c>
    </row>
    <row r="23" spans="1:6" ht="15" customHeight="1" x14ac:dyDescent="0.3">
      <c r="A23" s="3" t="s">
        <v>79</v>
      </c>
      <c r="B23" s="3">
        <v>914</v>
      </c>
      <c r="C23" s="3">
        <v>-1507</v>
      </c>
      <c r="D23" s="3">
        <v>485</v>
      </c>
      <c r="E23" s="3">
        <v>69</v>
      </c>
      <c r="F23" s="3">
        <v>-741</v>
      </c>
    </row>
    <row r="24" spans="1:6" ht="15" customHeight="1" x14ac:dyDescent="0.3">
      <c r="A24" s="3" t="s">
        <v>83</v>
      </c>
      <c r="B24" s="3">
        <v>-2245</v>
      </c>
      <c r="C24" s="3">
        <v>-1028</v>
      </c>
      <c r="D24" s="3">
        <v>-2839</v>
      </c>
      <c r="E24" s="3">
        <v>-2753</v>
      </c>
      <c r="F24" s="3">
        <v>-1782</v>
      </c>
    </row>
    <row r="25" spans="1:6" ht="15" customHeight="1" x14ac:dyDescent="0.3">
      <c r="A25" s="3" t="s">
        <v>84</v>
      </c>
      <c r="B25" s="3">
        <v>-32</v>
      </c>
      <c r="C25" s="3">
        <v>-9</v>
      </c>
      <c r="D25" s="3">
        <v>219</v>
      </c>
      <c r="E25" s="3">
        <v>-194</v>
      </c>
      <c r="F25" s="3">
        <v>87</v>
      </c>
    </row>
    <row r="26" spans="1:6" ht="15" customHeight="1" x14ac:dyDescent="0.3">
      <c r="A26" s="5" t="s">
        <v>87</v>
      </c>
      <c r="B26" s="6">
        <v>109</v>
      </c>
      <c r="C26" s="6">
        <v>100</v>
      </c>
      <c r="D26" s="6">
        <v>319</v>
      </c>
      <c r="E26" s="6">
        <v>125</v>
      </c>
      <c r="F26" s="6">
        <v>212</v>
      </c>
    </row>
    <row r="28" spans="1:6" ht="15" customHeight="1" x14ac:dyDescent="0.3">
      <c r="A28" s="2" t="s">
        <v>28</v>
      </c>
    </row>
    <row r="29" spans="1:6" ht="15" customHeight="1" x14ac:dyDescent="0.3">
      <c r="A29" s="3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</row>
    <row r="30" spans="1:6" ht="15" customHeight="1" x14ac:dyDescent="0.3">
      <c r="A30" s="3" t="s">
        <v>76</v>
      </c>
      <c r="B30" s="3">
        <v>2236</v>
      </c>
      <c r="C30" s="3">
        <v>2737</v>
      </c>
      <c r="D30" s="3">
        <v>4175</v>
      </c>
      <c r="E30" s="3">
        <v>2936</v>
      </c>
      <c r="F30" s="3">
        <v>5048</v>
      </c>
    </row>
    <row r="31" spans="1:6" ht="15" customHeight="1" x14ac:dyDescent="0.3">
      <c r="A31" s="3" t="s">
        <v>79</v>
      </c>
      <c r="B31" s="3">
        <v>-1920</v>
      </c>
      <c r="C31" s="3">
        <v>-392</v>
      </c>
      <c r="D31" s="3">
        <v>-1237</v>
      </c>
      <c r="E31" s="3">
        <v>-1811</v>
      </c>
      <c r="F31" s="3">
        <v>-624</v>
      </c>
    </row>
    <row r="32" spans="1:6" ht="15" customHeight="1" x14ac:dyDescent="0.3">
      <c r="A32" s="3" t="s">
        <v>83</v>
      </c>
      <c r="B32" s="3">
        <v>-2020</v>
      </c>
      <c r="C32" s="3">
        <v>-2123</v>
      </c>
      <c r="D32" s="3">
        <v>-3135</v>
      </c>
      <c r="E32" s="3">
        <v>-1848</v>
      </c>
      <c r="F32" s="3">
        <v>-3179</v>
      </c>
    </row>
    <row r="33" spans="1:6" ht="15" customHeight="1" x14ac:dyDescent="0.3">
      <c r="A33" s="3" t="s">
        <v>84</v>
      </c>
      <c r="B33" s="3">
        <v>-1704</v>
      </c>
      <c r="C33" s="3">
        <v>223</v>
      </c>
      <c r="D33" s="3">
        <v>-198</v>
      </c>
      <c r="E33" s="3">
        <v>-723</v>
      </c>
      <c r="F33" s="3">
        <v>1244</v>
      </c>
    </row>
    <row r="34" spans="1:6" ht="15" customHeight="1" x14ac:dyDescent="0.3">
      <c r="A34" s="3" t="s">
        <v>85</v>
      </c>
      <c r="B34" s="3">
        <v>1505</v>
      </c>
      <c r="C34" s="3">
        <v>2197</v>
      </c>
      <c r="D34" s="3">
        <v>2296</v>
      </c>
      <c r="E34" s="3">
        <v>932</v>
      </c>
      <c r="F34" s="3">
        <v>4221</v>
      </c>
    </row>
    <row r="36" spans="1:6" ht="15" customHeight="1" x14ac:dyDescent="0.3">
      <c r="A36" s="7" t="s">
        <v>32</v>
      </c>
    </row>
    <row r="37" spans="1:6" ht="15" customHeight="1" x14ac:dyDescent="0.3">
      <c r="A37" s="7" t="s">
        <v>88</v>
      </c>
    </row>
    <row r="38" spans="1:6" ht="15" customHeight="1" x14ac:dyDescent="0.3">
      <c r="A38" s="7" t="s">
        <v>89</v>
      </c>
    </row>
    <row r="39" spans="1:6" ht="15" customHeight="1" x14ac:dyDescent="0.3">
      <c r="A39" s="7" t="s">
        <v>90</v>
      </c>
    </row>
    <row r="40" spans="1:6" ht="15" customHeight="1" x14ac:dyDescent="0.3">
      <c r="A40" s="7" t="s">
        <v>91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5"/>
  <sheetViews>
    <sheetView showGridLines="0" topLeftCell="A42" zoomScaleNormal="100" workbookViewId="0">
      <selection activeCell="A53" sqref="A53"/>
    </sheetView>
  </sheetViews>
  <sheetFormatPr defaultColWidth="8.6640625" defaultRowHeight="14.4" x14ac:dyDescent="0.3"/>
  <cols>
    <col min="1" max="1" width="32" customWidth="1"/>
    <col min="2" max="6" width="14" customWidth="1"/>
  </cols>
  <sheetData>
    <row r="1" spans="1:6" ht="16.8" customHeight="1" x14ac:dyDescent="0.3">
      <c r="A1" s="38" t="s">
        <v>92</v>
      </c>
      <c r="B1" s="37"/>
      <c r="C1" s="37"/>
      <c r="D1" s="37"/>
      <c r="E1" s="37"/>
      <c r="F1" s="37"/>
    </row>
    <row r="3" spans="1:6" s="14" customFormat="1" x14ac:dyDescent="0.3">
      <c r="A3" s="18" t="s">
        <v>93</v>
      </c>
      <c r="B3" s="18"/>
      <c r="C3" s="18"/>
      <c r="D3" s="18"/>
      <c r="E3" s="18"/>
      <c r="F3" s="18"/>
    </row>
    <row r="4" spans="1:6" x14ac:dyDescent="0.3">
      <c r="A4" s="9" t="s">
        <v>94</v>
      </c>
      <c r="B4" s="10" t="s">
        <v>4</v>
      </c>
      <c r="C4" s="10" t="s">
        <v>5</v>
      </c>
      <c r="D4" s="10" t="s">
        <v>6</v>
      </c>
      <c r="E4" s="10" t="s">
        <v>7</v>
      </c>
      <c r="F4" s="10" t="s">
        <v>8</v>
      </c>
    </row>
    <row r="5" spans="1:6" x14ac:dyDescent="0.3">
      <c r="A5" s="11" t="s">
        <v>95</v>
      </c>
      <c r="B5" s="12">
        <f>'Income Statement'!B5</f>
        <v>52446</v>
      </c>
      <c r="C5" s="12">
        <f>'Income Statement'!C5</f>
        <v>60580</v>
      </c>
      <c r="D5" s="12">
        <f>'Income Statement'!D5</f>
        <v>61896</v>
      </c>
      <c r="E5" s="12">
        <f>'Income Statement'!E5</f>
        <v>61328</v>
      </c>
      <c r="F5" s="12">
        <f>'Income Statement'!F5</f>
        <v>64468</v>
      </c>
    </row>
    <row r="6" spans="1:6" x14ac:dyDescent="0.3">
      <c r="A6" s="11" t="s">
        <v>96</v>
      </c>
      <c r="B6" s="12">
        <f>'Income Statement'!B22</f>
        <v>14136</v>
      </c>
      <c r="C6" s="12">
        <f>'Income Statement'!C22</f>
        <v>16300</v>
      </c>
      <c r="D6" s="12">
        <f>'Income Statement'!D22</f>
        <v>16769</v>
      </c>
      <c r="E6" s="12">
        <f>'Income Statement'!E22</f>
        <v>17942</v>
      </c>
      <c r="F6" s="12">
        <f>'Income Statement'!F22</f>
        <v>18764</v>
      </c>
    </row>
    <row r="7" spans="1:6" x14ac:dyDescent="0.3">
      <c r="A7" s="11" t="s">
        <v>97</v>
      </c>
      <c r="B7" s="12">
        <f>'Income Statement'!B37</f>
        <v>14741</v>
      </c>
      <c r="C7" s="12">
        <f>'Income Statement'!C37</f>
        <v>16897</v>
      </c>
      <c r="D7" s="12">
        <f>'Income Statement'!D37</f>
        <v>24394</v>
      </c>
      <c r="E7" s="12">
        <f>'Income Statement'!E37</f>
        <v>20202</v>
      </c>
      <c r="F7" s="12">
        <f>'Income Statement'!F37</f>
        <v>23155</v>
      </c>
    </row>
    <row r="9" spans="1:6" x14ac:dyDescent="0.3">
      <c r="A9" s="39" t="s">
        <v>98</v>
      </c>
      <c r="B9" s="37"/>
      <c r="C9" s="37"/>
      <c r="D9" s="37"/>
      <c r="E9" s="37"/>
      <c r="F9" s="37"/>
    </row>
    <row r="10" spans="1:6" x14ac:dyDescent="0.3">
      <c r="A10" s="9" t="s">
        <v>94</v>
      </c>
      <c r="B10" s="10" t="s">
        <v>4</v>
      </c>
      <c r="C10" s="10" t="s">
        <v>5</v>
      </c>
      <c r="D10" s="10" t="s">
        <v>6</v>
      </c>
      <c r="E10" s="10" t="s">
        <v>7</v>
      </c>
      <c r="F10" s="10" t="s">
        <v>8</v>
      </c>
    </row>
    <row r="11" spans="1:6" x14ac:dyDescent="0.3">
      <c r="A11" s="11" t="s">
        <v>95</v>
      </c>
      <c r="B11" s="12" t="s">
        <v>99</v>
      </c>
      <c r="C11" s="16">
        <f>('Income Statement'!C5/'Income Statement'!B5)-1</f>
        <v>0.15509285741524614</v>
      </c>
      <c r="D11" s="16">
        <f>('Income Statement'!D5/'Income Statement'!C5)-1</f>
        <v>2.1723341036645749E-2</v>
      </c>
      <c r="E11" s="16">
        <f>('Income Statement'!E5/'Income Statement'!D5)-1</f>
        <v>-9.1766834690448773E-3</v>
      </c>
      <c r="F11" s="16">
        <f>('Income Statement'!F5/'Income Statement'!E5)-1</f>
        <v>5.1200104356900589E-2</v>
      </c>
    </row>
    <row r="12" spans="1:6" x14ac:dyDescent="0.3">
      <c r="A12" s="11" t="s">
        <v>96</v>
      </c>
      <c r="B12" s="12" t="s">
        <v>99</v>
      </c>
      <c r="C12" s="16">
        <f>('Income Statement'!C22/'Income Statement'!B22)-1</f>
        <v>0.15308432371250702</v>
      </c>
      <c r="D12" s="16">
        <f>('Income Statement'!D22/'Income Statement'!C22)-1</f>
        <v>2.8773006134969359E-2</v>
      </c>
      <c r="E12" s="16">
        <f>('Income Statement'!E22/'Income Statement'!D22)-1</f>
        <v>6.9950503906017092E-2</v>
      </c>
      <c r="F12" s="16">
        <f>('Income Statement'!F22/'Income Statement'!E22)-1</f>
        <v>4.581429049158392E-2</v>
      </c>
    </row>
    <row r="13" spans="1:6" x14ac:dyDescent="0.3">
      <c r="A13" s="11" t="s">
        <v>97</v>
      </c>
      <c r="B13" s="12" t="s">
        <v>99</v>
      </c>
      <c r="C13" s="16">
        <f>('Income Statement'!C37/'Income Statement'!B37)-1</f>
        <v>0.14625873414286694</v>
      </c>
      <c r="D13" s="16">
        <f>('Income Statement'!D37/'Income Statement'!C37)-1</f>
        <v>0.4436882286796473</v>
      </c>
      <c r="E13" s="16">
        <f>('Income Statement'!E37/'Income Statement'!D37)-1</f>
        <v>-0.17184553578748873</v>
      </c>
      <c r="F13" s="16">
        <f>('Income Statement'!F37/'Income Statement'!E37)-1</f>
        <v>0.14617364617364625</v>
      </c>
    </row>
    <row r="15" spans="1:6" s="14" customFormat="1" x14ac:dyDescent="0.3">
      <c r="A15" s="39" t="s">
        <v>100</v>
      </c>
      <c r="B15" s="40"/>
      <c r="C15" s="40"/>
      <c r="D15" s="40"/>
      <c r="E15" s="40"/>
      <c r="F15" s="40"/>
    </row>
    <row r="16" spans="1:6" x14ac:dyDescent="0.3">
      <c r="A16" s="9" t="s">
        <v>94</v>
      </c>
      <c r="B16" s="10" t="s">
        <v>4</v>
      </c>
      <c r="C16" s="10" t="s">
        <v>5</v>
      </c>
      <c r="D16" s="10" t="s">
        <v>6</v>
      </c>
      <c r="E16" s="10" t="s">
        <v>7</v>
      </c>
      <c r="F16" s="10" t="s">
        <v>8</v>
      </c>
    </row>
    <row r="17" spans="1:6" x14ac:dyDescent="0.3">
      <c r="A17" s="11" t="s">
        <v>95</v>
      </c>
      <c r="B17" s="16">
        <f>'Income Statement'!B17/'Income Statement'!B5</f>
        <v>0.23649086679632383</v>
      </c>
      <c r="C17" s="16">
        <f>'Income Statement'!C17/'Income Statement'!C5</f>
        <v>0.22585011554968637</v>
      </c>
      <c r="D17" s="16">
        <f>'Income Statement'!D17/'Income Statement'!D5</f>
        <v>0.22875468527853174</v>
      </c>
      <c r="E17" s="16">
        <f>'Income Statement'!E17/'Income Statement'!E5</f>
        <v>0.23209626924080354</v>
      </c>
      <c r="F17" s="16">
        <f>'Income Statement'!F17/'Income Statement'!F5</f>
        <v>0.22575541353849973</v>
      </c>
    </row>
    <row r="18" spans="1:6" x14ac:dyDescent="0.3">
      <c r="A18" s="11" t="s">
        <v>96</v>
      </c>
      <c r="B18" s="16">
        <f>'Income Statement'!B26/'Income Statement'!B22</f>
        <v>0.17140633842671193</v>
      </c>
      <c r="C18" s="16">
        <f>'Income Statement'!C26/'Income Statement'!C22</f>
        <v>0.18680981595092025</v>
      </c>
      <c r="D18" s="16">
        <f>'Income Statement'!D26/'Income Statement'!D22</f>
        <v>0.2017413083666289</v>
      </c>
      <c r="E18" s="16">
        <f>'Income Statement'!E26/'Income Statement'!E22</f>
        <v>0.19027979043584883</v>
      </c>
      <c r="F18" s="16">
        <f>'Income Statement'!F26/'Income Statement'!F22</f>
        <v>0.19766574291195907</v>
      </c>
    </row>
    <row r="19" spans="1:6" x14ac:dyDescent="0.3">
      <c r="A19" s="11" t="s">
        <v>97</v>
      </c>
      <c r="B19" s="16">
        <f>'Income Statement'!B40/'Income Statement'!B37</f>
        <v>0.23404110982972662</v>
      </c>
      <c r="C19" s="16">
        <f>'Income Statement'!C40/'Income Statement'!C37</f>
        <v>0.22566136000473458</v>
      </c>
      <c r="D19" s="16">
        <f>'Income Statement'!D40/'Income Statement'!D37</f>
        <v>0.24604410920718209</v>
      </c>
      <c r="E19" s="16">
        <f>'Income Statement'!E40/'Income Statement'!E37</f>
        <v>0.24710424710424711</v>
      </c>
      <c r="F19" s="16">
        <f>'Income Statement'!F40/'Income Statement'!F37</f>
        <v>0.23411790110127403</v>
      </c>
    </row>
    <row r="21" spans="1:6" x14ac:dyDescent="0.3">
      <c r="A21" s="42" t="s">
        <v>101</v>
      </c>
      <c r="B21" s="37"/>
      <c r="C21" s="37"/>
      <c r="D21" s="37"/>
      <c r="E21" s="37"/>
      <c r="F21" s="37"/>
    </row>
    <row r="22" spans="1:6" x14ac:dyDescent="0.3">
      <c r="A22" s="9" t="s">
        <v>94</v>
      </c>
      <c r="B22" s="10" t="s">
        <v>4</v>
      </c>
      <c r="C22" s="10" t="s">
        <v>5</v>
      </c>
      <c r="D22" s="10" t="s">
        <v>6</v>
      </c>
      <c r="E22" s="10" t="s">
        <v>7</v>
      </c>
      <c r="F22" s="10" t="s">
        <v>8</v>
      </c>
    </row>
    <row r="23" spans="1:6" x14ac:dyDescent="0.3">
      <c r="A23" s="11" t="s">
        <v>95</v>
      </c>
      <c r="B23" s="16">
        <f>'Income Statement'!B10/'Income Statement'!B5</f>
        <v>0.22398276322312474</v>
      </c>
      <c r="C23" s="16">
        <f>'Income Statement'!C10/'Income Statement'!C5</f>
        <v>0.21437768240343347</v>
      </c>
      <c r="D23" s="16">
        <f>'Income Statement'!D10/'Income Statement'!D5</f>
        <v>0.21671836629184438</v>
      </c>
      <c r="E23" s="16">
        <f>'Income Statement'!E10/'Income Statement'!E5</f>
        <v>0.21880707018001566</v>
      </c>
      <c r="F23" s="16">
        <f>'Income Statement'!F10/'Income Statement'!F5</f>
        <v>0.21226034621827883</v>
      </c>
    </row>
    <row r="24" spans="1:6" x14ac:dyDescent="0.3">
      <c r="A24" s="11" t="s">
        <v>96</v>
      </c>
      <c r="B24" s="16">
        <f>'Income Statement'!B28/'Income Statement'!B22</f>
        <v>0.15725806451612903</v>
      </c>
      <c r="C24" s="16">
        <f>'Income Statement'!C28/'Income Statement'!C22</f>
        <v>0.17300613496932515</v>
      </c>
      <c r="D24" s="16">
        <f>'Income Statement'!D28/'Income Statement'!D22</f>
        <v>0.18385115391496212</v>
      </c>
      <c r="E24" s="16">
        <f>'Income Statement'!E28/'Income Statement'!E22</f>
        <v>0.17283468955523354</v>
      </c>
      <c r="F24" s="16">
        <f>'Income Statement'!F28/'Income Statement'!F22</f>
        <v>0.17917288424642933</v>
      </c>
    </row>
    <row r="25" spans="1:6" x14ac:dyDescent="0.3">
      <c r="A25" s="11" t="s">
        <v>97</v>
      </c>
      <c r="B25" s="16">
        <f>'Income Statement'!B42/'Income Statement'!B37</f>
        <v>0.21511430703480089</v>
      </c>
      <c r="C25" s="16">
        <f>'Income Statement'!C42/'Income Statement'!C37</f>
        <v>0.19547848730543885</v>
      </c>
      <c r="D25" s="16">
        <f>'Income Statement'!D42/'Income Statement'!D37</f>
        <v>0.21747150938755433</v>
      </c>
      <c r="E25" s="16">
        <f>'Income Statement'!E42/'Income Statement'!E37</f>
        <v>0.20824670824670824</v>
      </c>
      <c r="F25" s="16">
        <f>'Income Statement'!F42/'Income Statement'!F37</f>
        <v>0.1970200820557115</v>
      </c>
    </row>
    <row r="27" spans="1:6" s="14" customFormat="1" x14ac:dyDescent="0.3">
      <c r="A27" s="39" t="s">
        <v>102</v>
      </c>
      <c r="B27" s="40"/>
      <c r="C27" s="40"/>
      <c r="D27" s="40"/>
      <c r="E27" s="40"/>
      <c r="F27" s="40"/>
    </row>
    <row r="28" spans="1:6" x14ac:dyDescent="0.3">
      <c r="A28" s="9" t="s">
        <v>94</v>
      </c>
      <c r="B28" s="10" t="s">
        <v>4</v>
      </c>
      <c r="C28" s="10" t="s">
        <v>5</v>
      </c>
      <c r="D28" s="10" t="s">
        <v>6</v>
      </c>
      <c r="E28" s="10" t="s">
        <v>7</v>
      </c>
      <c r="F28" s="10" t="s">
        <v>8</v>
      </c>
    </row>
    <row r="29" spans="1:6" x14ac:dyDescent="0.3">
      <c r="A29" s="11" t="s">
        <v>95</v>
      </c>
      <c r="B29" s="15">
        <f>'Income Statement'!B16/'Income Statement'!B5</f>
        <v>0.16929794455249209</v>
      </c>
      <c r="C29" s="15">
        <f>'Income Statement'!C16/'Income Statement'!C5</f>
        <v>0.16705183228788378</v>
      </c>
      <c r="D29" s="15">
        <f>'Income Statement'!D16/'Income Statement'!D5</f>
        <v>0.16603657748481324</v>
      </c>
      <c r="E29" s="15">
        <f>'Income Statement'!E16/'Income Statement'!E5</f>
        <v>0.17364009913905556</v>
      </c>
      <c r="F29" s="15">
        <f>'Income Statement'!F16/'Income Statement'!F5</f>
        <v>0.23329403735186449</v>
      </c>
    </row>
    <row r="30" spans="1:6" x14ac:dyDescent="0.3">
      <c r="A30" s="11" t="s">
        <v>96</v>
      </c>
      <c r="B30" s="15">
        <f>'Income Statement'!B32/'Income Statement'!B22</f>
        <v>0.10724391624221845</v>
      </c>
      <c r="C30" s="15">
        <f>'Income Statement'!C32/'Income Statement'!C22</f>
        <v>0.14171779141104293</v>
      </c>
      <c r="D30" s="15">
        <f>'Income Statement'!D32/'Income Statement'!D22</f>
        <v>0.12743753354403961</v>
      </c>
      <c r="E30" s="15">
        <f>'Income Statement'!E32/'Income Statement'!E22</f>
        <v>0.1219485007245569</v>
      </c>
      <c r="F30" s="15">
        <f>'Income Statement'!F32/'Income Statement'!F22</f>
        <v>0.13653805158814752</v>
      </c>
    </row>
    <row r="31" spans="1:6" x14ac:dyDescent="0.3">
      <c r="A31" s="11" t="s">
        <v>97</v>
      </c>
      <c r="B31" s="15">
        <f>'Income Statement'!B46/'Income Statement'!B37</f>
        <v>0.14368089003459739</v>
      </c>
      <c r="C31" s="15">
        <f>'Income Statement'!C46/'Income Statement'!C37</f>
        <v>0.14150440906669823</v>
      </c>
      <c r="D31" s="15">
        <f>'Income Statement'!D46/'Income Statement'!D37</f>
        <v>0.16122817086168731</v>
      </c>
      <c r="E31" s="15">
        <f>'Income Statement'!E46/'Income Statement'!E37</f>
        <v>0.1587961587961588</v>
      </c>
      <c r="F31" s="15">
        <f>'Income Statement'!F46/'Income Statement'!F37</f>
        <v>0.15111207082703521</v>
      </c>
    </row>
    <row r="33" spans="1:6" s="14" customFormat="1" x14ac:dyDescent="0.3">
      <c r="A33" s="39" t="s">
        <v>103</v>
      </c>
      <c r="B33" s="40"/>
      <c r="C33" s="40"/>
      <c r="D33" s="40"/>
      <c r="E33" s="40"/>
      <c r="F33" s="40"/>
    </row>
    <row r="34" spans="1:6" x14ac:dyDescent="0.3">
      <c r="A34" s="9" t="s">
        <v>94</v>
      </c>
      <c r="B34" s="10" t="s">
        <v>4</v>
      </c>
      <c r="C34" s="10" t="s">
        <v>5</v>
      </c>
      <c r="D34" s="10" t="s">
        <v>6</v>
      </c>
      <c r="E34" s="10" t="s">
        <v>7</v>
      </c>
      <c r="F34" s="10" t="s">
        <v>8</v>
      </c>
    </row>
    <row r="35" spans="1:6" x14ac:dyDescent="0.3">
      <c r="A35" s="11" t="s">
        <v>95</v>
      </c>
      <c r="B35" s="16">
        <f>'Income Statement'!B16/'Balance Sheet'!B22</f>
        <v>0.18088292215861634</v>
      </c>
      <c r="C35" s="16">
        <f>'Income Statement'!C16/'Balance Sheet'!C22</f>
        <v>0.20030877637464867</v>
      </c>
      <c r="D35" s="16">
        <f>'Income Statement'!D16/'Balance Sheet'!D22</f>
        <v>0.19985220621122843</v>
      </c>
      <c r="E35" s="16">
        <f>'Income Statement'!E16/'Balance Sheet'!E22</f>
        <v>0.21465863049043521</v>
      </c>
      <c r="F35" s="16">
        <f>'Income Statement'!F16/'Balance Sheet'!F22</f>
        <v>0.30688867123734903</v>
      </c>
    </row>
    <row r="36" spans="1:6" x14ac:dyDescent="0.3">
      <c r="A36" s="11" t="s">
        <v>96</v>
      </c>
      <c r="B36" s="16">
        <f>'Income Statement'!B32/'Balance Sheet'!B36</f>
        <v>0.59265050820953868</v>
      </c>
      <c r="C36" s="16">
        <f>'Income Statement'!C32/'Balance Sheet'!C36</f>
        <v>0.65365025466893034</v>
      </c>
      <c r="D36" s="16">
        <f>'Income Statement'!D32/'Balance Sheet'!D36</f>
        <v>0.54211060375443942</v>
      </c>
      <c r="E36" s="16">
        <f>'Income Statement'!E32/'Balance Sheet'!E36</f>
        <v>0.50229568411386594</v>
      </c>
      <c r="F36" s="16">
        <f>'Income Statement'!F32/'Balance Sheet'!F36</f>
        <v>0.50166438222048171</v>
      </c>
    </row>
    <row r="37" spans="1:6" x14ac:dyDescent="0.3">
      <c r="A37" s="11" t="s">
        <v>97</v>
      </c>
      <c r="B37" s="16">
        <f>'Income Statement'!B46/'Balance Sheet'!B50</f>
        <v>1.0883864337101747</v>
      </c>
      <c r="C37" s="16">
        <f>'Income Statement'!C46/'Balance Sheet'!C50</f>
        <v>0.97234648230988208</v>
      </c>
      <c r="D37" s="16">
        <f>'Income Statement'!D46/'Balance Sheet'!D50</f>
        <v>1.1771924573480994</v>
      </c>
      <c r="E37" s="16">
        <f>'Income Statement'!E46/'Balance Sheet'!E50</f>
        <v>0.8</v>
      </c>
      <c r="F37" s="16">
        <f>'Income Statement'!F46/'Balance Sheet'!F50</f>
        <v>0.67849524917587745</v>
      </c>
    </row>
    <row r="39" spans="1:6" s="14" customFormat="1" x14ac:dyDescent="0.3">
      <c r="A39" s="39" t="s">
        <v>104</v>
      </c>
      <c r="B39" s="40"/>
      <c r="C39" s="40"/>
      <c r="D39" s="40"/>
      <c r="E39" s="40"/>
      <c r="F39" s="40"/>
    </row>
    <row r="40" spans="1:6" x14ac:dyDescent="0.3">
      <c r="A40" s="9" t="s">
        <v>94</v>
      </c>
      <c r="B40" s="10" t="s">
        <v>4</v>
      </c>
      <c r="C40" s="10" t="s">
        <v>5</v>
      </c>
      <c r="D40" s="10" t="s">
        <v>6</v>
      </c>
      <c r="E40" s="10" t="s">
        <v>7</v>
      </c>
      <c r="F40" s="10" t="s">
        <v>8</v>
      </c>
    </row>
    <row r="41" spans="1:6" x14ac:dyDescent="0.3">
      <c r="A41" s="11" t="s">
        <v>95</v>
      </c>
      <c r="B41" s="16">
        <f>'Income Statement'!B16/'Balance Sheet'!B14</f>
        <v>0.12591290043535602</v>
      </c>
      <c r="C41" s="16">
        <f>'Income Statement'!C16/'Balance Sheet'!C14</f>
        <v>0.13846511691545693</v>
      </c>
      <c r="D41" s="16">
        <f>'Income Statement'!D16/'Balance Sheet'!D14</f>
        <v>0.13091886520847398</v>
      </c>
      <c r="E41" s="16">
        <f>'Income Statement'!E16/'Balance Sheet'!E14</f>
        <v>0.13331246870305458</v>
      </c>
      <c r="F41" s="16">
        <f>'Income Statement'!F16/'Balance Sheet'!F14</f>
        <v>0.18858461229812418</v>
      </c>
    </row>
    <row r="42" spans="1:6" x14ac:dyDescent="0.3">
      <c r="A42" s="11" t="s">
        <v>96</v>
      </c>
      <c r="B42" s="16">
        <f>'Income Statement'!B32/'Balance Sheet'!B32</f>
        <v>0.20278223649010166</v>
      </c>
      <c r="C42" s="16">
        <f>'Income Statement'!C32/'Balance Sheet'!C32</f>
        <v>0.24852071005917159</v>
      </c>
      <c r="D42" s="16">
        <f>'Income Statement'!D32/'Balance Sheet'!D32</f>
        <v>0.23665559246954596</v>
      </c>
      <c r="E42" s="16">
        <f>'Income Statement'!E32/'Balance Sheet'!E32</f>
        <v>0.24857986821177006</v>
      </c>
      <c r="F42" s="16">
        <f>'Income Statement'!F32/'Balance Sheet'!F32</f>
        <v>0.26442357312416143</v>
      </c>
    </row>
    <row r="43" spans="1:6" x14ac:dyDescent="0.3">
      <c r="A43" s="11" t="s">
        <v>97</v>
      </c>
      <c r="B43" s="16">
        <f>'Income Statement'!B46/'Balance Sheet'!B46</f>
        <v>0.38383472272562524</v>
      </c>
      <c r="C43" s="16">
        <f>'Income Statement'!C46/'Balance Sheet'!C46</f>
        <v>0.40171370967741937</v>
      </c>
      <c r="D43" s="16">
        <f>'Income Statement'!D46/'Balance Sheet'!D46</f>
        <v>0.37375273211061483</v>
      </c>
      <c r="E43" s="16">
        <f>'Income Statement'!E46/'Balance Sheet'!E46</f>
        <v>0.26310177970966947</v>
      </c>
      <c r="F43" s="16">
        <f>'Income Statement'!F46/'Balance Sheet'!F46</f>
        <v>0.26543771810043998</v>
      </c>
    </row>
    <row r="45" spans="1:6" s="14" customFormat="1" x14ac:dyDescent="0.3">
      <c r="A45" s="39" t="s">
        <v>105</v>
      </c>
      <c r="B45" s="40"/>
      <c r="C45" s="40"/>
      <c r="D45" s="40"/>
      <c r="E45" s="40"/>
      <c r="F45" s="40"/>
    </row>
    <row r="46" spans="1:6" x14ac:dyDescent="0.3">
      <c r="A46" s="9" t="s">
        <v>94</v>
      </c>
      <c r="B46" s="10" t="s">
        <v>4</v>
      </c>
      <c r="C46" s="10" t="s">
        <v>5</v>
      </c>
      <c r="D46" s="10" t="s">
        <v>6</v>
      </c>
      <c r="E46" s="10" t="s">
        <v>7</v>
      </c>
      <c r="F46" s="10" t="s">
        <v>8</v>
      </c>
    </row>
    <row r="47" spans="1:6" x14ac:dyDescent="0.3">
      <c r="A47" s="11" t="s">
        <v>95</v>
      </c>
      <c r="B47" s="16">
        <f>'Cash Flow'!B8/'Income Statement'!B5</f>
        <v>0.1725203066010754</v>
      </c>
      <c r="C47" s="16">
        <f>'Cash Flow'!C8/'Income Statement'!C5</f>
        <v>0.16492241663915483</v>
      </c>
      <c r="D47" s="16">
        <f>'Cash Flow'!D8/'Income Statement'!D5</f>
        <v>0.2499192193356598</v>
      </c>
      <c r="E47" s="16">
        <f>'Cash Flow'!E8/'Income Statement'!E5</f>
        <v>0.19381033133315939</v>
      </c>
      <c r="F47" s="16">
        <f>'Cash Flow'!F8/'Income Statement'!F5</f>
        <v>0.17061177638518335</v>
      </c>
    </row>
    <row r="48" spans="1:6" x14ac:dyDescent="0.3">
      <c r="A48" s="11" t="s">
        <v>96</v>
      </c>
      <c r="B48" s="16">
        <f>'Cash Flow'!B22/'Income Statement'!B22</f>
        <v>9.1893039049236E-2</v>
      </c>
      <c r="C48" s="16">
        <f>'Cash Flow'!C22/'Income Statement'!C22</f>
        <v>0.15496932515337422</v>
      </c>
      <c r="D48" s="16">
        <f>'Cash Flow'!D22/'Income Statement'!D22</f>
        <v>0.15337825749895639</v>
      </c>
      <c r="E48" s="16">
        <f>'Cash Flow'!E22/'Income Statement'!E22</f>
        <v>0.13878051499275443</v>
      </c>
      <c r="F48" s="16">
        <f>'Cash Flow'!F22/'Income Statement'!F22</f>
        <v>0.13914943508846728</v>
      </c>
    </row>
    <row r="49" spans="1:6" x14ac:dyDescent="0.3">
      <c r="A49" s="11" t="s">
        <v>97</v>
      </c>
      <c r="B49" s="16">
        <f>'Cash Flow'!B30/'Income Statement'!B37</f>
        <v>0.15168577437080252</v>
      </c>
      <c r="C49" s="16">
        <f>'Cash Flow'!C30/'Income Statement'!C37</f>
        <v>0.16198141681955378</v>
      </c>
      <c r="D49" s="16">
        <f>'Cash Flow'!D30/'Income Statement'!D37</f>
        <v>0.17114864310896122</v>
      </c>
      <c r="E49" s="16">
        <f>'Cash Flow'!E30/'Income Statement'!E37</f>
        <v>0.14533214533214533</v>
      </c>
      <c r="F49" s="16">
        <f>'Cash Flow'!F30/'Income Statement'!F37</f>
        <v>0.21800906931548261</v>
      </c>
    </row>
    <row r="51" spans="1:6" s="14" customFormat="1" x14ac:dyDescent="0.3">
      <c r="A51" s="39" t="s">
        <v>106</v>
      </c>
      <c r="B51" s="40"/>
      <c r="C51" s="40"/>
      <c r="D51" s="40"/>
      <c r="E51" s="40"/>
      <c r="F51" s="40"/>
    </row>
    <row r="52" spans="1:6" x14ac:dyDescent="0.3">
      <c r="A52" s="9" t="s">
        <v>94</v>
      </c>
      <c r="B52" s="10" t="s">
        <v>4</v>
      </c>
      <c r="C52" s="10" t="s">
        <v>5</v>
      </c>
      <c r="D52" s="10" t="s">
        <v>6</v>
      </c>
      <c r="E52" s="10" t="s">
        <v>7</v>
      </c>
      <c r="F52" s="10" t="s">
        <v>8</v>
      </c>
    </row>
    <row r="53" spans="1:6" x14ac:dyDescent="0.3">
      <c r="A53" s="11" t="s">
        <v>95</v>
      </c>
      <c r="B53" s="12">
        <f>('Balance Sheet'!B16+'Balance Sheet'!B19)/'Balance Sheet'!B22</f>
        <v>1.5706806282722512E-2</v>
      </c>
      <c r="C53" s="12">
        <f>('Balance Sheet'!C16+'Balance Sheet'!C19)/'Balance Sheet'!C22</f>
        <v>1.6784767032183998E-2</v>
      </c>
      <c r="D53" s="12">
        <f>('Balance Sheet'!D16+'Balance Sheet'!D19)/'Balance Sheet'!D22</f>
        <v>2.2246854520350814E-2</v>
      </c>
      <c r="E53" s="12">
        <f>('Balance Sheet'!E16+'Balance Sheet'!E19)/'Balance Sheet'!E22</f>
        <v>2.5882400370900442E-2</v>
      </c>
      <c r="F53" s="12">
        <f>('Balance Sheet'!F16+'Balance Sheet'!F19)/'Balance Sheet'!F22</f>
        <v>2.3281913157035587E-2</v>
      </c>
    </row>
    <row r="54" spans="1:6" x14ac:dyDescent="0.3">
      <c r="A54" s="11" t="s">
        <v>96</v>
      </c>
      <c r="B54" s="12">
        <f>'Balance Sheet'!B33/'Balance Sheet'!B36</f>
        <v>0.96403440187646594</v>
      </c>
      <c r="C54" s="12">
        <f>'Balance Sheet'!C33/'Balance Sheet'!C36</f>
        <v>0.84352009054895305</v>
      </c>
      <c r="D54" s="12">
        <f>'Balance Sheet'!D33/'Balance Sheet'!D36</f>
        <v>0.51775748351090822</v>
      </c>
      <c r="E54" s="12">
        <f>'Balance Sheet'!E33/'Balance Sheet'!E36</f>
        <v>0.2812213039485767</v>
      </c>
      <c r="F54" s="12">
        <f>'Balance Sheet'!F33/'Balance Sheet'!F36</f>
        <v>0.26590953593107497</v>
      </c>
    </row>
    <row r="55" spans="1:6" x14ac:dyDescent="0.3">
      <c r="A55" s="11" t="s">
        <v>97</v>
      </c>
      <c r="B55" s="12">
        <f>'Balance Sheet'!B47/'Balance Sheet'!B50</f>
        <v>0.1366906474820144</v>
      </c>
      <c r="C55" s="12">
        <f>'Balance Sheet'!C47/'Balance Sheet'!C50</f>
        <v>0.11020740138267589</v>
      </c>
      <c r="D55" s="12">
        <f>'Balance Sheet'!D47/'Balance Sheet'!D50</f>
        <v>0.1032624962586052</v>
      </c>
      <c r="E55" s="12">
        <f>'Balance Sheet'!E47/'Balance Sheet'!E50</f>
        <v>0.29102244389027432</v>
      </c>
      <c r="F55" s="12">
        <f>'Balance Sheet'!F47/'Balance Sheet'!F50</f>
        <v>8.6096567771960439E-2</v>
      </c>
    </row>
    <row r="57" spans="1:6" s="14" customFormat="1" x14ac:dyDescent="0.3">
      <c r="A57" s="39" t="s">
        <v>107</v>
      </c>
      <c r="B57" s="40"/>
      <c r="C57" s="40"/>
      <c r="D57" s="40"/>
      <c r="E57" s="40"/>
      <c r="F57" s="40"/>
    </row>
    <row r="58" spans="1:6" x14ac:dyDescent="0.3">
      <c r="A58" s="9" t="s">
        <v>94</v>
      </c>
      <c r="B58" s="10" t="s">
        <v>4</v>
      </c>
      <c r="C58" s="10" t="s">
        <v>5</v>
      </c>
      <c r="D58" s="10" t="s">
        <v>6</v>
      </c>
      <c r="E58" s="10" t="s">
        <v>7</v>
      </c>
      <c r="F58" s="10" t="s">
        <v>8</v>
      </c>
    </row>
    <row r="59" spans="1:6" x14ac:dyDescent="0.3">
      <c r="A59" s="11" t="s">
        <v>95</v>
      </c>
      <c r="B59" s="12">
        <f>'Income Statement'!B5/'Balance Sheet'!B14</f>
        <v>0.74373555312903272</v>
      </c>
      <c r="C59" s="12">
        <f>'Income Statement'!C5/'Balance Sheet'!C14</f>
        <v>0.82887517615991901</v>
      </c>
      <c r="D59" s="12">
        <f>'Income Statement'!D5/'Balance Sheet'!D14</f>
        <v>0.78849412094421589</v>
      </c>
      <c r="E59" s="12">
        <f>'Income Statement'!E5/'Balance Sheet'!E14</f>
        <v>0.76775162744116177</v>
      </c>
      <c r="F59" s="12">
        <f>'Income Statement'!F5/'Balance Sheet'!F14</f>
        <v>0.80835590330023066</v>
      </c>
    </row>
    <row r="60" spans="1:6" x14ac:dyDescent="0.3">
      <c r="A60" s="11" t="s">
        <v>96</v>
      </c>
      <c r="B60" s="12">
        <f>'Income Statement'!B22/'Balance Sheet'!B32</f>
        <v>1.8908507223113964</v>
      </c>
      <c r="C60" s="12">
        <f>'Income Statement'!C22/'Balance Sheet'!C32</f>
        <v>1.7536309844002151</v>
      </c>
      <c r="D60" s="12">
        <f>'Income Statement'!D22/'Balance Sheet'!D32</f>
        <v>1.85703211517165</v>
      </c>
      <c r="E60" s="12">
        <f>'Income Statement'!E22/'Balance Sheet'!E32</f>
        <v>2.038400363553738</v>
      </c>
      <c r="F60" s="12">
        <f>'Income Statement'!F22/'Balance Sheet'!F32</f>
        <v>1.9366291670967075</v>
      </c>
    </row>
    <row r="61" spans="1:6" x14ac:dyDescent="0.3">
      <c r="A61" s="11" t="s">
        <v>97</v>
      </c>
      <c r="B61" s="12">
        <f>'Income Statement'!B37/'Balance Sheet'!B46</f>
        <v>2.6714389271475172</v>
      </c>
      <c r="C61" s="12">
        <f>'Income Statement'!C37/'Balance Sheet'!C46</f>
        <v>2.838877688172043</v>
      </c>
      <c r="D61" s="12">
        <f>'Income Statement'!D37/'Balance Sheet'!D46</f>
        <v>2.3181602204694478</v>
      </c>
      <c r="E61" s="12">
        <f>'Income Statement'!E37/'Balance Sheet'!E46</f>
        <v>1.65685229229886</v>
      </c>
      <c r="F61" s="12">
        <f>'Income Statement'!F37/'Balance Sheet'!F46</f>
        <v>1.7565619784554696</v>
      </c>
    </row>
    <row r="63" spans="1:6" s="14" customFormat="1" x14ac:dyDescent="0.3">
      <c r="A63" s="39" t="s">
        <v>108</v>
      </c>
      <c r="B63" s="40"/>
      <c r="C63" s="40"/>
      <c r="D63" s="40"/>
      <c r="E63" s="40"/>
      <c r="F63" s="40"/>
    </row>
    <row r="64" spans="1:6" x14ac:dyDescent="0.3">
      <c r="A64" s="9" t="s">
        <v>94</v>
      </c>
      <c r="B64" s="10" t="s">
        <v>4</v>
      </c>
      <c r="C64" s="10" t="s">
        <v>5</v>
      </c>
      <c r="D64" s="10" t="s">
        <v>6</v>
      </c>
      <c r="E64" s="10" t="s">
        <v>7</v>
      </c>
      <c r="F64" s="10" t="s">
        <v>8</v>
      </c>
    </row>
    <row r="65" spans="1:6" x14ac:dyDescent="0.3">
      <c r="A65" s="11" t="s">
        <v>95</v>
      </c>
      <c r="B65" s="12">
        <f>'Income Statement'!B10/ABS('Income Statement'!B11)</f>
        <v>143.2560975609756</v>
      </c>
      <c r="C65" s="12">
        <f>'Income Statement'!C10/ABS('Income Statement'!C11)</f>
        <v>147.57954545454547</v>
      </c>
      <c r="D65" s="12">
        <f>'Income Statement'!D10/ABS('Income Statement'!D11)</f>
        <v>47.736654804270465</v>
      </c>
      <c r="E65" s="12">
        <f>'Income Statement'!E10/ABS('Income Statement'!E11)</f>
        <v>40.540785498489427</v>
      </c>
      <c r="F65" s="12">
        <f>'Income Statement'!F10/ABS('Income Statement'!F11)</f>
        <v>40.970059880239518</v>
      </c>
    </row>
    <row r="66" spans="1:6" x14ac:dyDescent="0.3">
      <c r="A66" s="11" t="s">
        <v>96</v>
      </c>
      <c r="B66" s="12">
        <f>'Income Statement'!B28/ABS('Income Statement'!B29)</f>
        <v>15.4375</v>
      </c>
      <c r="C66" s="12">
        <f>'Income Statement'!C28/ABS('Income Statement'!C29)</f>
        <v>16.68639053254438</v>
      </c>
      <c r="D66" s="12">
        <f>'Income Statement'!D28/ABS('Income Statement'!D29)</f>
        <v>18.798780487804876</v>
      </c>
      <c r="E66" s="12">
        <f>'Income Statement'!E28/ABS('Income Statement'!E29)</f>
        <v>22.471014492753625</v>
      </c>
      <c r="F66" s="12">
        <f>'Income Statement'!F28/ABS('Income Statement'!F29)</f>
        <v>30.288288288288289</v>
      </c>
    </row>
    <row r="67" spans="1:6" x14ac:dyDescent="0.3">
      <c r="A67" s="11" t="s">
        <v>97</v>
      </c>
      <c r="B67" s="12">
        <f>'Income Statement'!B42/ABS('Income Statement'!B43)</f>
        <v>15.698019801980198</v>
      </c>
      <c r="C67" s="12">
        <f>'Income Statement'!C42/ABS('Income Statement'!C43)</f>
        <v>21.309677419354838</v>
      </c>
      <c r="D67" s="12">
        <f>'Income Statement'!D42/ABS('Income Statement'!D43)</f>
        <v>36.586206896551722</v>
      </c>
      <c r="E67" s="12">
        <f>'Income Statement'!E42/ABS('Income Statement'!E43)</f>
        <v>30.933823529411764</v>
      </c>
      <c r="F67" s="12">
        <f>'Income Statement'!F42/ABS('Income Statement'!F43)</f>
        <v>28.873417721518987</v>
      </c>
    </row>
    <row r="70" spans="1:6" x14ac:dyDescent="0.3">
      <c r="A70" s="13"/>
    </row>
    <row r="71" spans="1:6" x14ac:dyDescent="0.3">
      <c r="A71" s="41"/>
      <c r="B71" s="37"/>
      <c r="C71" s="37"/>
      <c r="D71" s="37"/>
      <c r="E71" s="37"/>
      <c r="F71" s="37"/>
    </row>
    <row r="72" spans="1:6" x14ac:dyDescent="0.3">
      <c r="A72" s="41"/>
      <c r="B72" s="37"/>
      <c r="C72" s="37"/>
      <c r="D72" s="37"/>
      <c r="E72" s="37"/>
      <c r="F72" s="37"/>
    </row>
    <row r="73" spans="1:6" x14ac:dyDescent="0.3">
      <c r="A73" s="41"/>
      <c r="B73" s="37"/>
      <c r="C73" s="37"/>
      <c r="D73" s="37"/>
      <c r="E73" s="37"/>
      <c r="F73" s="37"/>
    </row>
    <row r="74" spans="1:6" x14ac:dyDescent="0.3">
      <c r="A74" s="41"/>
      <c r="B74" s="37"/>
      <c r="C74" s="37"/>
      <c r="D74" s="37"/>
      <c r="E74" s="37"/>
      <c r="F74" s="37"/>
    </row>
    <row r="75" spans="1:6" x14ac:dyDescent="0.3">
      <c r="A75" s="41"/>
      <c r="B75" s="37"/>
      <c r="C75" s="37"/>
      <c r="D75" s="37"/>
      <c r="E75" s="37"/>
      <c r="F75" s="37"/>
    </row>
  </sheetData>
  <mergeCells count="16">
    <mergeCell ref="A1:F1"/>
    <mergeCell ref="A45:F45"/>
    <mergeCell ref="A9:F9"/>
    <mergeCell ref="A27:F27"/>
    <mergeCell ref="A75:F75"/>
    <mergeCell ref="A74:F74"/>
    <mergeCell ref="A21:F21"/>
    <mergeCell ref="A39:F39"/>
    <mergeCell ref="A72:F72"/>
    <mergeCell ref="A15:F15"/>
    <mergeCell ref="A57:F57"/>
    <mergeCell ref="A73:F73"/>
    <mergeCell ref="A33:F33"/>
    <mergeCell ref="A51:F51"/>
    <mergeCell ref="A63:F63"/>
    <mergeCell ref="A71:F7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8"/>
  <sheetViews>
    <sheetView showGridLines="0" topLeftCell="A4" zoomScaleNormal="100" workbookViewId="0">
      <selection activeCell="A4" sqref="A4:D169"/>
    </sheetView>
  </sheetViews>
  <sheetFormatPr defaultColWidth="8.6640625" defaultRowHeight="14.4" x14ac:dyDescent="0.3"/>
  <cols>
    <col min="1" max="1" width="54.5546875" bestFit="1" customWidth="1"/>
    <col min="2" max="2" width="17.21875" bestFit="1" customWidth="1"/>
    <col min="3" max="3" width="27.5546875" bestFit="1" customWidth="1"/>
    <col min="4" max="8" width="20" customWidth="1"/>
  </cols>
  <sheetData>
    <row r="1" spans="1:4" ht="16.8" customHeight="1" x14ac:dyDescent="0.3">
      <c r="A1" s="8" t="s">
        <v>109</v>
      </c>
    </row>
    <row r="2" spans="1:4" s="14" customFormat="1" x14ac:dyDescent="0.3"/>
    <row r="3" spans="1:4" s="14" customFormat="1" x14ac:dyDescent="0.3">
      <c r="A3" s="39" t="s">
        <v>110</v>
      </c>
      <c r="B3" s="40"/>
      <c r="C3" s="40"/>
      <c r="D3" s="40"/>
    </row>
    <row r="4" spans="1:4" x14ac:dyDescent="0.3">
      <c r="A4" s="9" t="s">
        <v>94</v>
      </c>
      <c r="B4" s="9" t="s">
        <v>111</v>
      </c>
      <c r="C4" s="9" t="s">
        <v>112</v>
      </c>
      <c r="D4" s="9" t="s">
        <v>113</v>
      </c>
    </row>
    <row r="5" spans="1:4" x14ac:dyDescent="0.3">
      <c r="A5" s="11" t="s">
        <v>95</v>
      </c>
      <c r="B5" s="11" t="s">
        <v>4</v>
      </c>
      <c r="C5" s="11" t="s">
        <v>93</v>
      </c>
      <c r="D5" s="11">
        <f>'Ratio Comparison'!B5</f>
        <v>52446</v>
      </c>
    </row>
    <row r="6" spans="1:4" x14ac:dyDescent="0.3">
      <c r="A6" s="11" t="s">
        <v>95</v>
      </c>
      <c r="B6" s="11" t="s">
        <v>5</v>
      </c>
      <c r="C6" s="11" t="s">
        <v>93</v>
      </c>
      <c r="D6" s="11">
        <f>'Ratio Comparison'!C5</f>
        <v>60580</v>
      </c>
    </row>
    <row r="7" spans="1:4" x14ac:dyDescent="0.3">
      <c r="A7" s="11" t="s">
        <v>95</v>
      </c>
      <c r="B7" s="11" t="s">
        <v>6</v>
      </c>
      <c r="C7" s="11" t="s">
        <v>93</v>
      </c>
      <c r="D7" s="11">
        <f>'Ratio Comparison'!D5</f>
        <v>61896</v>
      </c>
    </row>
    <row r="8" spans="1:4" x14ac:dyDescent="0.3">
      <c r="A8" s="11" t="s">
        <v>95</v>
      </c>
      <c r="B8" s="11" t="s">
        <v>7</v>
      </c>
      <c r="C8" s="11" t="s">
        <v>93</v>
      </c>
      <c r="D8" s="11">
        <f>'Ratio Comparison'!E5</f>
        <v>61328</v>
      </c>
    </row>
    <row r="9" spans="1:4" x14ac:dyDescent="0.3">
      <c r="A9" s="11" t="s">
        <v>95</v>
      </c>
      <c r="B9" s="11" t="s">
        <v>8</v>
      </c>
      <c r="C9" s="11" t="s">
        <v>93</v>
      </c>
      <c r="D9" s="11">
        <f>'Ratio Comparison'!F5</f>
        <v>64468</v>
      </c>
    </row>
    <row r="10" spans="1:4" x14ac:dyDescent="0.3">
      <c r="A10" s="11" t="s">
        <v>96</v>
      </c>
      <c r="B10" s="11" t="s">
        <v>4</v>
      </c>
      <c r="C10" s="11" t="s">
        <v>93</v>
      </c>
      <c r="D10" s="11">
        <f>'Ratio Comparison'!B6</f>
        <v>14136</v>
      </c>
    </row>
    <row r="11" spans="1:4" x14ac:dyDescent="0.3">
      <c r="A11" s="11" t="s">
        <v>96</v>
      </c>
      <c r="B11" s="11" t="s">
        <v>5</v>
      </c>
      <c r="C11" s="11" t="s">
        <v>93</v>
      </c>
      <c r="D11" s="11">
        <f>'Ratio Comparison'!C6</f>
        <v>16300</v>
      </c>
    </row>
    <row r="12" spans="1:4" x14ac:dyDescent="0.3">
      <c r="A12" s="11" t="s">
        <v>96</v>
      </c>
      <c r="B12" s="11" t="s">
        <v>6</v>
      </c>
      <c r="C12" s="11" t="s">
        <v>93</v>
      </c>
      <c r="D12" s="11">
        <f>'Ratio Comparison'!D6</f>
        <v>16769</v>
      </c>
    </row>
    <row r="13" spans="1:4" x14ac:dyDescent="0.3">
      <c r="A13" s="11" t="s">
        <v>96</v>
      </c>
      <c r="B13" s="11" t="s">
        <v>7</v>
      </c>
      <c r="C13" s="11" t="s">
        <v>93</v>
      </c>
      <c r="D13" s="11">
        <f>'Ratio Comparison'!E6</f>
        <v>17942</v>
      </c>
    </row>
    <row r="14" spans="1:4" x14ac:dyDescent="0.3">
      <c r="A14" s="11" t="s">
        <v>96</v>
      </c>
      <c r="B14" s="11" t="s">
        <v>8</v>
      </c>
      <c r="C14" s="11" t="s">
        <v>93</v>
      </c>
      <c r="D14" s="11">
        <f>'Ratio Comparison'!F6</f>
        <v>18764</v>
      </c>
    </row>
    <row r="15" spans="1:4" x14ac:dyDescent="0.3">
      <c r="A15" s="11" t="s">
        <v>97</v>
      </c>
      <c r="B15" s="11" t="s">
        <v>4</v>
      </c>
      <c r="C15" s="11" t="s">
        <v>93</v>
      </c>
      <c r="D15" s="11">
        <f>'Ratio Comparison'!B7</f>
        <v>14741</v>
      </c>
    </row>
    <row r="16" spans="1:4" x14ac:dyDescent="0.3">
      <c r="A16" s="11" t="s">
        <v>97</v>
      </c>
      <c r="B16" s="11" t="s">
        <v>5</v>
      </c>
      <c r="C16" s="11" t="s">
        <v>93</v>
      </c>
      <c r="D16" s="11">
        <f>'Ratio Comparison'!C7</f>
        <v>16897</v>
      </c>
    </row>
    <row r="17" spans="1:4" x14ac:dyDescent="0.3">
      <c r="A17" s="11" t="s">
        <v>97</v>
      </c>
      <c r="B17" s="11" t="s">
        <v>6</v>
      </c>
      <c r="C17" s="11" t="s">
        <v>93</v>
      </c>
      <c r="D17" s="11">
        <f>'Ratio Comparison'!D7</f>
        <v>24394</v>
      </c>
    </row>
    <row r="18" spans="1:4" x14ac:dyDescent="0.3">
      <c r="A18" s="11" t="s">
        <v>97</v>
      </c>
      <c r="B18" s="11" t="s">
        <v>7</v>
      </c>
      <c r="C18" s="11" t="s">
        <v>93</v>
      </c>
      <c r="D18" s="11">
        <f>'Ratio Comparison'!E7</f>
        <v>20202</v>
      </c>
    </row>
    <row r="19" spans="1:4" x14ac:dyDescent="0.3">
      <c r="A19" s="11" t="s">
        <v>97</v>
      </c>
      <c r="B19" s="11" t="s">
        <v>8</v>
      </c>
      <c r="C19" s="11" t="s">
        <v>93</v>
      </c>
      <c r="D19" s="11">
        <f>'Ratio Comparison'!F7</f>
        <v>23155</v>
      </c>
    </row>
    <row r="20" spans="1:4" x14ac:dyDescent="0.3">
      <c r="A20" s="11" t="s">
        <v>95</v>
      </c>
      <c r="B20" s="11" t="s">
        <v>4</v>
      </c>
      <c r="C20" s="11" t="s">
        <v>98</v>
      </c>
      <c r="D20" s="11" t="s">
        <v>99</v>
      </c>
    </row>
    <row r="21" spans="1:4" x14ac:dyDescent="0.3">
      <c r="A21" s="11" t="s">
        <v>95</v>
      </c>
      <c r="B21" s="11" t="s">
        <v>5</v>
      </c>
      <c r="C21" s="11" t="s">
        <v>98</v>
      </c>
      <c r="D21" s="17">
        <f>'Ratio Comparison'!C11</f>
        <v>0.15509285741524614</v>
      </c>
    </row>
    <row r="22" spans="1:4" x14ac:dyDescent="0.3">
      <c r="A22" s="11" t="s">
        <v>95</v>
      </c>
      <c r="B22" s="11" t="s">
        <v>6</v>
      </c>
      <c r="C22" s="11" t="s">
        <v>98</v>
      </c>
      <c r="D22" s="17">
        <f>'Ratio Comparison'!D11</f>
        <v>2.1723341036645749E-2</v>
      </c>
    </row>
    <row r="23" spans="1:4" x14ac:dyDescent="0.3">
      <c r="A23" s="11" t="s">
        <v>95</v>
      </c>
      <c r="B23" s="11" t="s">
        <v>7</v>
      </c>
      <c r="C23" s="11" t="s">
        <v>98</v>
      </c>
      <c r="D23" s="17">
        <f>'Ratio Comparison'!E11</f>
        <v>-9.1766834690448773E-3</v>
      </c>
    </row>
    <row r="24" spans="1:4" x14ac:dyDescent="0.3">
      <c r="A24" s="11" t="s">
        <v>95</v>
      </c>
      <c r="B24" s="11" t="s">
        <v>8</v>
      </c>
      <c r="C24" s="11" t="s">
        <v>98</v>
      </c>
      <c r="D24" s="17">
        <f>'Ratio Comparison'!F11</f>
        <v>5.1200104356900589E-2</v>
      </c>
    </row>
    <row r="25" spans="1:4" x14ac:dyDescent="0.3">
      <c r="A25" s="11" t="s">
        <v>96</v>
      </c>
      <c r="B25" s="11" t="s">
        <v>4</v>
      </c>
      <c r="C25" s="11" t="s">
        <v>98</v>
      </c>
      <c r="D25" s="11" t="s">
        <v>99</v>
      </c>
    </row>
    <row r="26" spans="1:4" x14ac:dyDescent="0.3">
      <c r="A26" s="11" t="s">
        <v>96</v>
      </c>
      <c r="B26" s="11" t="s">
        <v>5</v>
      </c>
      <c r="C26" s="11" t="s">
        <v>98</v>
      </c>
      <c r="D26" s="17">
        <f>'Ratio Comparison'!C12</f>
        <v>0.15308432371250702</v>
      </c>
    </row>
    <row r="27" spans="1:4" x14ac:dyDescent="0.3">
      <c r="A27" s="11" t="s">
        <v>96</v>
      </c>
      <c r="B27" s="11" t="s">
        <v>6</v>
      </c>
      <c r="C27" s="11" t="s">
        <v>98</v>
      </c>
      <c r="D27" s="17">
        <f>'Ratio Comparison'!D12</f>
        <v>2.8773006134969359E-2</v>
      </c>
    </row>
    <row r="28" spans="1:4" x14ac:dyDescent="0.3">
      <c r="A28" s="11" t="s">
        <v>96</v>
      </c>
      <c r="B28" s="11" t="s">
        <v>7</v>
      </c>
      <c r="C28" s="11" t="s">
        <v>98</v>
      </c>
      <c r="D28" s="17">
        <f>'Ratio Comparison'!E12</f>
        <v>6.9950503906017092E-2</v>
      </c>
    </row>
    <row r="29" spans="1:4" x14ac:dyDescent="0.3">
      <c r="A29" s="11" t="s">
        <v>96</v>
      </c>
      <c r="B29" s="11" t="s">
        <v>8</v>
      </c>
      <c r="C29" s="11" t="s">
        <v>98</v>
      </c>
      <c r="D29" s="17">
        <f>'Ratio Comparison'!F12</f>
        <v>4.581429049158392E-2</v>
      </c>
    </row>
    <row r="30" spans="1:4" x14ac:dyDescent="0.3">
      <c r="A30" s="11" t="s">
        <v>97</v>
      </c>
      <c r="B30" s="11" t="s">
        <v>4</v>
      </c>
      <c r="C30" s="11" t="s">
        <v>98</v>
      </c>
      <c r="D30" s="11" t="s">
        <v>99</v>
      </c>
    </row>
    <row r="31" spans="1:4" x14ac:dyDescent="0.3">
      <c r="A31" s="11" t="s">
        <v>97</v>
      </c>
      <c r="B31" s="11" t="s">
        <v>5</v>
      </c>
      <c r="C31" s="11" t="s">
        <v>98</v>
      </c>
      <c r="D31" s="17">
        <f>'Ratio Comparison'!C13</f>
        <v>0.14625873414286694</v>
      </c>
    </row>
    <row r="32" spans="1:4" x14ac:dyDescent="0.3">
      <c r="A32" s="11" t="s">
        <v>97</v>
      </c>
      <c r="B32" s="11" t="s">
        <v>6</v>
      </c>
      <c r="C32" s="11" t="s">
        <v>98</v>
      </c>
      <c r="D32" s="17">
        <f>'Ratio Comparison'!D13</f>
        <v>0.4436882286796473</v>
      </c>
    </row>
    <row r="33" spans="1:4" x14ac:dyDescent="0.3">
      <c r="A33" s="11" t="s">
        <v>97</v>
      </c>
      <c r="B33" s="11" t="s">
        <v>7</v>
      </c>
      <c r="C33" s="11" t="s">
        <v>98</v>
      </c>
      <c r="D33" s="17">
        <f>'Ratio Comparison'!E13</f>
        <v>-0.17184553578748873</v>
      </c>
    </row>
    <row r="34" spans="1:4" x14ac:dyDescent="0.3">
      <c r="A34" s="11" t="s">
        <v>97</v>
      </c>
      <c r="B34" s="11" t="s">
        <v>8</v>
      </c>
      <c r="C34" s="11" t="s">
        <v>98</v>
      </c>
      <c r="D34" s="17">
        <f>'Ratio Comparison'!F13</f>
        <v>0.14617364617364625</v>
      </c>
    </row>
    <row r="35" spans="1:4" x14ac:dyDescent="0.3">
      <c r="A35" s="11" t="s">
        <v>95</v>
      </c>
      <c r="B35" s="11" t="s">
        <v>4</v>
      </c>
      <c r="C35" s="11" t="s">
        <v>100</v>
      </c>
      <c r="D35" s="17">
        <f>'Ratio Comparison'!B17</f>
        <v>0.23649086679632383</v>
      </c>
    </row>
    <row r="36" spans="1:4" x14ac:dyDescent="0.3">
      <c r="A36" s="11" t="s">
        <v>95</v>
      </c>
      <c r="B36" s="11" t="s">
        <v>5</v>
      </c>
      <c r="C36" s="11" t="s">
        <v>100</v>
      </c>
      <c r="D36" s="17">
        <f>'Ratio Comparison'!C17</f>
        <v>0.22585011554968637</v>
      </c>
    </row>
    <row r="37" spans="1:4" x14ac:dyDescent="0.3">
      <c r="A37" s="11" t="s">
        <v>95</v>
      </c>
      <c r="B37" s="11" t="s">
        <v>6</v>
      </c>
      <c r="C37" s="11" t="s">
        <v>100</v>
      </c>
      <c r="D37" s="17">
        <f>'Ratio Comparison'!D17</f>
        <v>0.22875468527853174</v>
      </c>
    </row>
    <row r="38" spans="1:4" x14ac:dyDescent="0.3">
      <c r="A38" s="11" t="s">
        <v>95</v>
      </c>
      <c r="B38" s="11" t="s">
        <v>7</v>
      </c>
      <c r="C38" s="11" t="s">
        <v>100</v>
      </c>
      <c r="D38" s="17">
        <f>'Ratio Comparison'!E17</f>
        <v>0.23209626924080354</v>
      </c>
    </row>
    <row r="39" spans="1:4" x14ac:dyDescent="0.3">
      <c r="A39" s="11" t="s">
        <v>95</v>
      </c>
      <c r="B39" s="11" t="s">
        <v>8</v>
      </c>
      <c r="C39" s="11" t="s">
        <v>100</v>
      </c>
      <c r="D39" s="17">
        <f>'Ratio Comparison'!F17</f>
        <v>0.22575541353849973</v>
      </c>
    </row>
    <row r="40" spans="1:4" x14ac:dyDescent="0.3">
      <c r="A40" s="11" t="s">
        <v>96</v>
      </c>
      <c r="B40" s="11" t="s">
        <v>4</v>
      </c>
      <c r="C40" s="11" t="s">
        <v>100</v>
      </c>
      <c r="D40" s="17">
        <f>'Ratio Comparison'!B18</f>
        <v>0.17140633842671193</v>
      </c>
    </row>
    <row r="41" spans="1:4" x14ac:dyDescent="0.3">
      <c r="A41" s="11" t="s">
        <v>96</v>
      </c>
      <c r="B41" s="11" t="s">
        <v>5</v>
      </c>
      <c r="C41" s="11" t="s">
        <v>100</v>
      </c>
      <c r="D41" s="17">
        <f>'Ratio Comparison'!C18</f>
        <v>0.18680981595092025</v>
      </c>
    </row>
    <row r="42" spans="1:4" x14ac:dyDescent="0.3">
      <c r="A42" s="11" t="s">
        <v>96</v>
      </c>
      <c r="B42" s="11" t="s">
        <v>6</v>
      </c>
      <c r="C42" s="11" t="s">
        <v>100</v>
      </c>
      <c r="D42" s="17">
        <f>'Ratio Comparison'!D18</f>
        <v>0.2017413083666289</v>
      </c>
    </row>
    <row r="43" spans="1:4" x14ac:dyDescent="0.3">
      <c r="A43" s="11" t="s">
        <v>96</v>
      </c>
      <c r="B43" s="11" t="s">
        <v>7</v>
      </c>
      <c r="C43" s="11" t="s">
        <v>100</v>
      </c>
      <c r="D43" s="17">
        <f>'Ratio Comparison'!E18</f>
        <v>0.19027979043584883</v>
      </c>
    </row>
    <row r="44" spans="1:4" x14ac:dyDescent="0.3">
      <c r="A44" s="11" t="s">
        <v>96</v>
      </c>
      <c r="B44" s="11" t="s">
        <v>8</v>
      </c>
      <c r="C44" s="11" t="s">
        <v>100</v>
      </c>
      <c r="D44" s="17">
        <f>'Ratio Comparison'!F18</f>
        <v>0.19766574291195907</v>
      </c>
    </row>
    <row r="45" spans="1:4" x14ac:dyDescent="0.3">
      <c r="A45" s="11" t="s">
        <v>97</v>
      </c>
      <c r="B45" s="11" t="s">
        <v>4</v>
      </c>
      <c r="C45" s="11" t="s">
        <v>100</v>
      </c>
      <c r="D45" s="17">
        <f>'Ratio Comparison'!B19</f>
        <v>0.23404110982972662</v>
      </c>
    </row>
    <row r="46" spans="1:4" x14ac:dyDescent="0.3">
      <c r="A46" s="11" t="s">
        <v>97</v>
      </c>
      <c r="B46" s="11" t="s">
        <v>5</v>
      </c>
      <c r="C46" s="11" t="s">
        <v>100</v>
      </c>
      <c r="D46" s="17">
        <f>'Ratio Comparison'!C19</f>
        <v>0.22566136000473458</v>
      </c>
    </row>
    <row r="47" spans="1:4" x14ac:dyDescent="0.3">
      <c r="A47" s="11" t="s">
        <v>97</v>
      </c>
      <c r="B47" s="11" t="s">
        <v>6</v>
      </c>
      <c r="C47" s="11" t="s">
        <v>100</v>
      </c>
      <c r="D47" s="17">
        <f>'Ratio Comparison'!D19</f>
        <v>0.24604410920718209</v>
      </c>
    </row>
    <row r="48" spans="1:4" x14ac:dyDescent="0.3">
      <c r="A48" s="11" t="s">
        <v>97</v>
      </c>
      <c r="B48" s="11" t="s">
        <v>7</v>
      </c>
      <c r="C48" s="11" t="s">
        <v>100</v>
      </c>
      <c r="D48" s="17">
        <f>'Ratio Comparison'!E19</f>
        <v>0.24710424710424711</v>
      </c>
    </row>
    <row r="49" spans="1:4" x14ac:dyDescent="0.3">
      <c r="A49" s="11" t="s">
        <v>97</v>
      </c>
      <c r="B49" s="11" t="s">
        <v>8</v>
      </c>
      <c r="C49" s="11" t="s">
        <v>100</v>
      </c>
      <c r="D49" s="17">
        <f>'Ratio Comparison'!F19</f>
        <v>0.23411790110127403</v>
      </c>
    </row>
    <row r="50" spans="1:4" x14ac:dyDescent="0.3">
      <c r="A50" s="11" t="s">
        <v>95</v>
      </c>
      <c r="B50" s="11" t="s">
        <v>4</v>
      </c>
      <c r="C50" s="11" t="s">
        <v>101</v>
      </c>
      <c r="D50" s="17">
        <f>'Ratio Comparison'!B23</f>
        <v>0.22398276322312474</v>
      </c>
    </row>
    <row r="51" spans="1:4" x14ac:dyDescent="0.3">
      <c r="A51" s="11" t="s">
        <v>95</v>
      </c>
      <c r="B51" s="11" t="s">
        <v>5</v>
      </c>
      <c r="C51" s="11" t="s">
        <v>101</v>
      </c>
      <c r="D51" s="17">
        <f>'Ratio Comparison'!C23</f>
        <v>0.21437768240343347</v>
      </c>
    </row>
    <row r="52" spans="1:4" x14ac:dyDescent="0.3">
      <c r="A52" s="11" t="s">
        <v>95</v>
      </c>
      <c r="B52" s="11" t="s">
        <v>6</v>
      </c>
      <c r="C52" s="11" t="s">
        <v>101</v>
      </c>
      <c r="D52" s="17">
        <f>'Ratio Comparison'!D23</f>
        <v>0.21671836629184438</v>
      </c>
    </row>
    <row r="53" spans="1:4" x14ac:dyDescent="0.3">
      <c r="A53" s="11" t="s">
        <v>95</v>
      </c>
      <c r="B53" s="11" t="s">
        <v>7</v>
      </c>
      <c r="C53" s="11" t="s">
        <v>101</v>
      </c>
      <c r="D53" s="17">
        <f>'Ratio Comparison'!E23</f>
        <v>0.21880707018001566</v>
      </c>
    </row>
    <row r="54" spans="1:4" x14ac:dyDescent="0.3">
      <c r="A54" s="11" t="s">
        <v>95</v>
      </c>
      <c r="B54" s="11" t="s">
        <v>8</v>
      </c>
      <c r="C54" s="11" t="s">
        <v>101</v>
      </c>
      <c r="D54" s="17">
        <f>'Ratio Comparison'!F23</f>
        <v>0.21226034621827883</v>
      </c>
    </row>
    <row r="55" spans="1:4" x14ac:dyDescent="0.3">
      <c r="A55" s="11" t="s">
        <v>96</v>
      </c>
      <c r="B55" s="11" t="s">
        <v>4</v>
      </c>
      <c r="C55" s="11" t="s">
        <v>101</v>
      </c>
      <c r="D55" s="17">
        <f>'Ratio Comparison'!B24</f>
        <v>0.15725806451612903</v>
      </c>
    </row>
    <row r="56" spans="1:4" x14ac:dyDescent="0.3">
      <c r="A56" s="11" t="s">
        <v>96</v>
      </c>
      <c r="B56" s="11" t="s">
        <v>5</v>
      </c>
      <c r="C56" s="11" t="s">
        <v>101</v>
      </c>
      <c r="D56" s="17">
        <f>'Ratio Comparison'!C24</f>
        <v>0.17300613496932515</v>
      </c>
    </row>
    <row r="57" spans="1:4" x14ac:dyDescent="0.3">
      <c r="A57" s="11" t="s">
        <v>96</v>
      </c>
      <c r="B57" s="11" t="s">
        <v>6</v>
      </c>
      <c r="C57" s="11" t="s">
        <v>101</v>
      </c>
      <c r="D57" s="17">
        <f>'Ratio Comparison'!D24</f>
        <v>0.18385115391496212</v>
      </c>
    </row>
    <row r="58" spans="1:4" x14ac:dyDescent="0.3">
      <c r="A58" s="11" t="s">
        <v>96</v>
      </c>
      <c r="B58" s="11" t="s">
        <v>7</v>
      </c>
      <c r="C58" s="11" t="s">
        <v>101</v>
      </c>
      <c r="D58" s="17">
        <f>'Ratio Comparison'!E24</f>
        <v>0.17283468955523354</v>
      </c>
    </row>
    <row r="59" spans="1:4" x14ac:dyDescent="0.3">
      <c r="A59" s="11" t="s">
        <v>96</v>
      </c>
      <c r="B59" s="11" t="s">
        <v>8</v>
      </c>
      <c r="C59" s="11" t="s">
        <v>101</v>
      </c>
      <c r="D59" s="17">
        <f>'Ratio Comparison'!F24</f>
        <v>0.17917288424642933</v>
      </c>
    </row>
    <row r="60" spans="1:4" x14ac:dyDescent="0.3">
      <c r="A60" s="11" t="s">
        <v>97</v>
      </c>
      <c r="B60" s="11" t="s">
        <v>4</v>
      </c>
      <c r="C60" s="11" t="s">
        <v>101</v>
      </c>
      <c r="D60" s="17">
        <f>'Ratio Comparison'!B25</f>
        <v>0.21511430703480089</v>
      </c>
    </row>
    <row r="61" spans="1:4" x14ac:dyDescent="0.3">
      <c r="A61" s="11" t="s">
        <v>97</v>
      </c>
      <c r="B61" s="11" t="s">
        <v>5</v>
      </c>
      <c r="C61" s="11" t="s">
        <v>101</v>
      </c>
      <c r="D61" s="17">
        <f>'Ratio Comparison'!C25</f>
        <v>0.19547848730543885</v>
      </c>
    </row>
    <row r="62" spans="1:4" x14ac:dyDescent="0.3">
      <c r="A62" s="11" t="s">
        <v>97</v>
      </c>
      <c r="B62" s="11" t="s">
        <v>6</v>
      </c>
      <c r="C62" s="11" t="s">
        <v>101</v>
      </c>
      <c r="D62" s="17">
        <f>'Ratio Comparison'!D25</f>
        <v>0.21747150938755433</v>
      </c>
    </row>
    <row r="63" spans="1:4" x14ac:dyDescent="0.3">
      <c r="A63" s="11" t="s">
        <v>97</v>
      </c>
      <c r="B63" s="11" t="s">
        <v>7</v>
      </c>
      <c r="C63" s="11" t="s">
        <v>101</v>
      </c>
      <c r="D63" s="17">
        <f>'Ratio Comparison'!E25</f>
        <v>0.20824670824670824</v>
      </c>
    </row>
    <row r="64" spans="1:4" x14ac:dyDescent="0.3">
      <c r="A64" s="11" t="s">
        <v>97</v>
      </c>
      <c r="B64" s="11" t="s">
        <v>8</v>
      </c>
      <c r="C64" s="11" t="s">
        <v>101</v>
      </c>
      <c r="D64" s="17">
        <f>'Ratio Comparison'!F25</f>
        <v>0.1970200820557115</v>
      </c>
    </row>
    <row r="65" spans="1:4" x14ac:dyDescent="0.3">
      <c r="A65" s="11" t="s">
        <v>95</v>
      </c>
      <c r="B65" s="11" t="s">
        <v>4</v>
      </c>
      <c r="C65" s="11" t="s">
        <v>102</v>
      </c>
      <c r="D65" s="17">
        <f>'Ratio Comparison'!B29</f>
        <v>0.16929794455249209</v>
      </c>
    </row>
    <row r="66" spans="1:4" x14ac:dyDescent="0.3">
      <c r="A66" s="11" t="s">
        <v>95</v>
      </c>
      <c r="B66" s="11" t="s">
        <v>5</v>
      </c>
      <c r="C66" s="11" t="s">
        <v>102</v>
      </c>
      <c r="D66" s="17">
        <f>'Ratio Comparison'!C29</f>
        <v>0.16705183228788378</v>
      </c>
    </row>
    <row r="67" spans="1:4" x14ac:dyDescent="0.3">
      <c r="A67" s="11" t="s">
        <v>95</v>
      </c>
      <c r="B67" s="11" t="s">
        <v>6</v>
      </c>
      <c r="C67" s="11" t="s">
        <v>102</v>
      </c>
      <c r="D67" s="17">
        <f>'Ratio Comparison'!D29</f>
        <v>0.16603657748481324</v>
      </c>
    </row>
    <row r="68" spans="1:4" x14ac:dyDescent="0.3">
      <c r="A68" s="11" t="s">
        <v>95</v>
      </c>
      <c r="B68" s="11" t="s">
        <v>7</v>
      </c>
      <c r="C68" s="11" t="s">
        <v>102</v>
      </c>
      <c r="D68" s="17">
        <f>'Ratio Comparison'!E29</f>
        <v>0.17364009913905556</v>
      </c>
    </row>
    <row r="69" spans="1:4" x14ac:dyDescent="0.3">
      <c r="A69" s="11" t="s">
        <v>95</v>
      </c>
      <c r="B69" s="11" t="s">
        <v>8</v>
      </c>
      <c r="C69" s="11" t="s">
        <v>102</v>
      </c>
      <c r="D69" s="17">
        <f>'Ratio Comparison'!F29</f>
        <v>0.23329403735186449</v>
      </c>
    </row>
    <row r="70" spans="1:4" x14ac:dyDescent="0.3">
      <c r="A70" s="11" t="s">
        <v>96</v>
      </c>
      <c r="B70" s="11" t="s">
        <v>4</v>
      </c>
      <c r="C70" s="11" t="s">
        <v>102</v>
      </c>
      <c r="D70" s="17">
        <f>'Ratio Comparison'!B30</f>
        <v>0.10724391624221845</v>
      </c>
    </row>
    <row r="71" spans="1:4" x14ac:dyDescent="0.3">
      <c r="A71" s="11" t="s">
        <v>96</v>
      </c>
      <c r="B71" s="11" t="s">
        <v>5</v>
      </c>
      <c r="C71" s="11" t="s">
        <v>102</v>
      </c>
      <c r="D71" s="17">
        <f>'Ratio Comparison'!C30</f>
        <v>0.14171779141104293</v>
      </c>
    </row>
    <row r="72" spans="1:4" x14ac:dyDescent="0.3">
      <c r="A72" s="11" t="s">
        <v>96</v>
      </c>
      <c r="B72" s="11" t="s">
        <v>6</v>
      </c>
      <c r="C72" s="11" t="s">
        <v>102</v>
      </c>
      <c r="D72" s="17">
        <f>'Ratio Comparison'!D30</f>
        <v>0.12743753354403961</v>
      </c>
    </row>
    <row r="73" spans="1:4" x14ac:dyDescent="0.3">
      <c r="A73" s="11" t="s">
        <v>96</v>
      </c>
      <c r="B73" s="11" t="s">
        <v>7</v>
      </c>
      <c r="C73" s="11" t="s">
        <v>102</v>
      </c>
      <c r="D73" s="17">
        <f>'Ratio Comparison'!E30</f>
        <v>0.1219485007245569</v>
      </c>
    </row>
    <row r="74" spans="1:4" x14ac:dyDescent="0.3">
      <c r="A74" s="11" t="s">
        <v>96</v>
      </c>
      <c r="B74" s="11" t="s">
        <v>8</v>
      </c>
      <c r="C74" s="11" t="s">
        <v>102</v>
      </c>
      <c r="D74" s="17">
        <f>'Ratio Comparison'!F30</f>
        <v>0.13653805158814752</v>
      </c>
    </row>
    <row r="75" spans="1:4" x14ac:dyDescent="0.3">
      <c r="A75" s="11" t="s">
        <v>97</v>
      </c>
      <c r="B75" s="11" t="s">
        <v>4</v>
      </c>
      <c r="C75" s="11" t="s">
        <v>102</v>
      </c>
      <c r="D75" s="17">
        <f>'Ratio Comparison'!B31</f>
        <v>0.14368089003459739</v>
      </c>
    </row>
    <row r="76" spans="1:4" x14ac:dyDescent="0.3">
      <c r="A76" s="11" t="s">
        <v>97</v>
      </c>
      <c r="B76" s="11" t="s">
        <v>5</v>
      </c>
      <c r="C76" s="11" t="s">
        <v>102</v>
      </c>
      <c r="D76" s="17">
        <f>'Ratio Comparison'!C31</f>
        <v>0.14150440906669823</v>
      </c>
    </row>
    <row r="77" spans="1:4" x14ac:dyDescent="0.3">
      <c r="A77" s="11" t="s">
        <v>97</v>
      </c>
      <c r="B77" s="11" t="s">
        <v>6</v>
      </c>
      <c r="C77" s="11" t="s">
        <v>102</v>
      </c>
      <c r="D77" s="17">
        <f>'Ratio Comparison'!D31</f>
        <v>0.16122817086168731</v>
      </c>
    </row>
    <row r="78" spans="1:4" x14ac:dyDescent="0.3">
      <c r="A78" s="11" t="s">
        <v>97</v>
      </c>
      <c r="B78" s="11" t="s">
        <v>7</v>
      </c>
      <c r="C78" s="11" t="s">
        <v>102</v>
      </c>
      <c r="D78" s="17">
        <f>'Ratio Comparison'!E31</f>
        <v>0.1587961587961588</v>
      </c>
    </row>
    <row r="79" spans="1:4" x14ac:dyDescent="0.3">
      <c r="A79" s="11" t="s">
        <v>97</v>
      </c>
      <c r="B79" s="11" t="s">
        <v>8</v>
      </c>
      <c r="C79" s="11" t="s">
        <v>102</v>
      </c>
      <c r="D79" s="17">
        <f>'Ratio Comparison'!F31</f>
        <v>0.15111207082703521</v>
      </c>
    </row>
    <row r="80" spans="1:4" x14ac:dyDescent="0.3">
      <c r="A80" s="11" t="s">
        <v>95</v>
      </c>
      <c r="B80" s="11" t="s">
        <v>4</v>
      </c>
      <c r="C80" s="11" t="s">
        <v>103</v>
      </c>
      <c r="D80" s="17">
        <f>'Ratio Comparison'!B35</f>
        <v>0.18088292215861634</v>
      </c>
    </row>
    <row r="81" spans="1:4" x14ac:dyDescent="0.3">
      <c r="A81" s="11" t="s">
        <v>95</v>
      </c>
      <c r="B81" s="11" t="s">
        <v>5</v>
      </c>
      <c r="C81" s="11" t="s">
        <v>103</v>
      </c>
      <c r="D81" s="17">
        <f>'Ratio Comparison'!C35</f>
        <v>0.20030877637464867</v>
      </c>
    </row>
    <row r="82" spans="1:4" x14ac:dyDescent="0.3">
      <c r="A82" s="11" t="s">
        <v>95</v>
      </c>
      <c r="B82" s="11" t="s">
        <v>6</v>
      </c>
      <c r="C82" s="11" t="s">
        <v>103</v>
      </c>
      <c r="D82" s="17">
        <f>'Ratio Comparison'!D35</f>
        <v>0.19985220621122843</v>
      </c>
    </row>
    <row r="83" spans="1:4" x14ac:dyDescent="0.3">
      <c r="A83" s="11" t="s">
        <v>95</v>
      </c>
      <c r="B83" s="11" t="s">
        <v>7</v>
      </c>
      <c r="C83" s="11" t="s">
        <v>103</v>
      </c>
      <c r="D83" s="17">
        <f>'Ratio Comparison'!E35</f>
        <v>0.21465863049043521</v>
      </c>
    </row>
    <row r="84" spans="1:4" x14ac:dyDescent="0.3">
      <c r="A84" s="11" t="s">
        <v>95</v>
      </c>
      <c r="B84" s="11" t="s">
        <v>8</v>
      </c>
      <c r="C84" s="11" t="s">
        <v>103</v>
      </c>
      <c r="D84" s="17">
        <f>'Ratio Comparison'!F35</f>
        <v>0.30688867123734903</v>
      </c>
    </row>
    <row r="85" spans="1:4" x14ac:dyDescent="0.3">
      <c r="A85" s="11" t="s">
        <v>96</v>
      </c>
      <c r="B85" s="11" t="s">
        <v>4</v>
      </c>
      <c r="C85" s="11" t="s">
        <v>103</v>
      </c>
      <c r="D85" s="17">
        <f>'Ratio Comparison'!B36</f>
        <v>0.59265050820953868</v>
      </c>
    </row>
    <row r="86" spans="1:4" x14ac:dyDescent="0.3">
      <c r="A86" s="11" t="s">
        <v>96</v>
      </c>
      <c r="B86" s="11" t="s">
        <v>5</v>
      </c>
      <c r="C86" s="11" t="s">
        <v>103</v>
      </c>
      <c r="D86" s="17">
        <f>'Ratio Comparison'!C36</f>
        <v>0.65365025466893034</v>
      </c>
    </row>
    <row r="87" spans="1:4" x14ac:dyDescent="0.3">
      <c r="A87" s="11" t="s">
        <v>96</v>
      </c>
      <c r="B87" s="11" t="s">
        <v>6</v>
      </c>
      <c r="C87" s="11" t="s">
        <v>103</v>
      </c>
      <c r="D87" s="17">
        <f>'Ratio Comparison'!D36</f>
        <v>0.54211060375443942</v>
      </c>
    </row>
    <row r="88" spans="1:4" x14ac:dyDescent="0.3">
      <c r="A88" s="11" t="s">
        <v>96</v>
      </c>
      <c r="B88" s="11" t="s">
        <v>7</v>
      </c>
      <c r="C88" s="11" t="s">
        <v>103</v>
      </c>
      <c r="D88" s="17">
        <f>'Ratio Comparison'!E36</f>
        <v>0.50229568411386594</v>
      </c>
    </row>
    <row r="89" spans="1:4" x14ac:dyDescent="0.3">
      <c r="A89" s="11" t="s">
        <v>96</v>
      </c>
      <c r="B89" s="11" t="s">
        <v>8</v>
      </c>
      <c r="C89" s="11" t="s">
        <v>103</v>
      </c>
      <c r="D89" s="17">
        <f>'Ratio Comparison'!F36</f>
        <v>0.50166438222048171</v>
      </c>
    </row>
    <row r="90" spans="1:4" x14ac:dyDescent="0.3">
      <c r="A90" s="11" t="s">
        <v>97</v>
      </c>
      <c r="B90" s="11" t="s">
        <v>4</v>
      </c>
      <c r="C90" s="11" t="s">
        <v>103</v>
      </c>
      <c r="D90" s="17">
        <f>'Ratio Comparison'!B37</f>
        <v>1.0883864337101747</v>
      </c>
    </row>
    <row r="91" spans="1:4" x14ac:dyDescent="0.3">
      <c r="A91" s="11" t="s">
        <v>97</v>
      </c>
      <c r="B91" s="11" t="s">
        <v>5</v>
      </c>
      <c r="C91" s="11" t="s">
        <v>103</v>
      </c>
      <c r="D91" s="17">
        <f>'Ratio Comparison'!C37</f>
        <v>0.97234648230988208</v>
      </c>
    </row>
    <row r="92" spans="1:4" x14ac:dyDescent="0.3">
      <c r="A92" s="11" t="s">
        <v>97</v>
      </c>
      <c r="B92" s="11" t="s">
        <v>6</v>
      </c>
      <c r="C92" s="11" t="s">
        <v>103</v>
      </c>
      <c r="D92" s="17">
        <f>'Ratio Comparison'!D37</f>
        <v>1.1771924573480994</v>
      </c>
    </row>
    <row r="93" spans="1:4" x14ac:dyDescent="0.3">
      <c r="A93" s="11" t="s">
        <v>97</v>
      </c>
      <c r="B93" s="11" t="s">
        <v>7</v>
      </c>
      <c r="C93" s="11" t="s">
        <v>103</v>
      </c>
      <c r="D93" s="17">
        <f>'Ratio Comparison'!E37</f>
        <v>0.8</v>
      </c>
    </row>
    <row r="94" spans="1:4" x14ac:dyDescent="0.3">
      <c r="A94" s="11" t="s">
        <v>97</v>
      </c>
      <c r="B94" s="11" t="s">
        <v>8</v>
      </c>
      <c r="C94" s="11" t="s">
        <v>103</v>
      </c>
      <c r="D94" s="17">
        <f>'Ratio Comparison'!F37</f>
        <v>0.67849524917587745</v>
      </c>
    </row>
    <row r="95" spans="1:4" x14ac:dyDescent="0.3">
      <c r="A95" s="11" t="s">
        <v>95</v>
      </c>
      <c r="B95" s="11" t="s">
        <v>4</v>
      </c>
      <c r="C95" s="11" t="s">
        <v>104</v>
      </c>
      <c r="D95" s="17">
        <f>'Ratio Comparison'!B41</f>
        <v>0.12591290043535602</v>
      </c>
    </row>
    <row r="96" spans="1:4" x14ac:dyDescent="0.3">
      <c r="A96" s="11" t="s">
        <v>95</v>
      </c>
      <c r="B96" s="11" t="s">
        <v>5</v>
      </c>
      <c r="C96" s="11" t="s">
        <v>104</v>
      </c>
      <c r="D96" s="17">
        <f>'Ratio Comparison'!C41</f>
        <v>0.13846511691545693</v>
      </c>
    </row>
    <row r="97" spans="1:4" x14ac:dyDescent="0.3">
      <c r="A97" s="11" t="s">
        <v>95</v>
      </c>
      <c r="B97" s="11" t="s">
        <v>6</v>
      </c>
      <c r="C97" s="11" t="s">
        <v>104</v>
      </c>
      <c r="D97" s="17">
        <f>'Ratio Comparison'!D41</f>
        <v>0.13091886520847398</v>
      </c>
    </row>
    <row r="98" spans="1:4" x14ac:dyDescent="0.3">
      <c r="A98" s="11" t="s">
        <v>95</v>
      </c>
      <c r="B98" s="11" t="s">
        <v>7</v>
      </c>
      <c r="C98" s="11" t="s">
        <v>104</v>
      </c>
      <c r="D98" s="17">
        <f>'Ratio Comparison'!E41</f>
        <v>0.13331246870305458</v>
      </c>
    </row>
    <row r="99" spans="1:4" x14ac:dyDescent="0.3">
      <c r="A99" s="11" t="s">
        <v>95</v>
      </c>
      <c r="B99" s="11" t="s">
        <v>8</v>
      </c>
      <c r="C99" s="11" t="s">
        <v>104</v>
      </c>
      <c r="D99" s="17">
        <f>'Ratio Comparison'!F41</f>
        <v>0.18858461229812418</v>
      </c>
    </row>
    <row r="100" spans="1:4" x14ac:dyDescent="0.3">
      <c r="A100" s="11" t="s">
        <v>96</v>
      </c>
      <c r="B100" s="11" t="s">
        <v>4</v>
      </c>
      <c r="C100" s="11" t="s">
        <v>104</v>
      </c>
      <c r="D100" s="17">
        <f>'Ratio Comparison'!B42</f>
        <v>0.20278223649010166</v>
      </c>
    </row>
    <row r="101" spans="1:4" x14ac:dyDescent="0.3">
      <c r="A101" s="11" t="s">
        <v>96</v>
      </c>
      <c r="B101" s="11" t="s">
        <v>5</v>
      </c>
      <c r="C101" s="11" t="s">
        <v>104</v>
      </c>
      <c r="D101" s="17">
        <f>'Ratio Comparison'!C42</f>
        <v>0.24852071005917159</v>
      </c>
    </row>
    <row r="102" spans="1:4" x14ac:dyDescent="0.3">
      <c r="A102" s="11" t="s">
        <v>96</v>
      </c>
      <c r="B102" s="11" t="s">
        <v>6</v>
      </c>
      <c r="C102" s="11" t="s">
        <v>104</v>
      </c>
      <c r="D102" s="17">
        <f>'Ratio Comparison'!D42</f>
        <v>0.23665559246954596</v>
      </c>
    </row>
    <row r="103" spans="1:4" x14ac:dyDescent="0.3">
      <c r="A103" s="11" t="s">
        <v>96</v>
      </c>
      <c r="B103" s="11" t="s">
        <v>7</v>
      </c>
      <c r="C103" s="11" t="s">
        <v>104</v>
      </c>
      <c r="D103" s="17">
        <f>'Ratio Comparison'!E42</f>
        <v>0.24857986821177006</v>
      </c>
    </row>
    <row r="104" spans="1:4" x14ac:dyDescent="0.3">
      <c r="A104" s="11" t="s">
        <v>96</v>
      </c>
      <c r="B104" s="11" t="s">
        <v>8</v>
      </c>
      <c r="C104" s="11" t="s">
        <v>104</v>
      </c>
      <c r="D104" s="17">
        <f>'Ratio Comparison'!F42</f>
        <v>0.26442357312416143</v>
      </c>
    </row>
    <row r="105" spans="1:4" x14ac:dyDescent="0.3">
      <c r="A105" s="11" t="s">
        <v>97</v>
      </c>
      <c r="B105" s="11" t="s">
        <v>4</v>
      </c>
      <c r="C105" s="11" t="s">
        <v>104</v>
      </c>
      <c r="D105" s="17">
        <f>'Ratio Comparison'!B43</f>
        <v>0.38383472272562524</v>
      </c>
    </row>
    <row r="106" spans="1:4" x14ac:dyDescent="0.3">
      <c r="A106" s="11" t="s">
        <v>97</v>
      </c>
      <c r="B106" s="11" t="s">
        <v>5</v>
      </c>
      <c r="C106" s="11" t="s">
        <v>104</v>
      </c>
      <c r="D106" s="17">
        <f>'Ratio Comparison'!C43</f>
        <v>0.40171370967741937</v>
      </c>
    </row>
    <row r="107" spans="1:4" x14ac:dyDescent="0.3">
      <c r="A107" s="11" t="s">
        <v>97</v>
      </c>
      <c r="B107" s="11" t="s">
        <v>6</v>
      </c>
      <c r="C107" s="11" t="s">
        <v>104</v>
      </c>
      <c r="D107" s="17">
        <f>'Ratio Comparison'!D43</f>
        <v>0.37375273211061483</v>
      </c>
    </row>
    <row r="108" spans="1:4" x14ac:dyDescent="0.3">
      <c r="A108" s="11" t="s">
        <v>97</v>
      </c>
      <c r="B108" s="11" t="s">
        <v>7</v>
      </c>
      <c r="C108" s="11" t="s">
        <v>104</v>
      </c>
      <c r="D108" s="17">
        <f>'Ratio Comparison'!E43</f>
        <v>0.26310177970966947</v>
      </c>
    </row>
    <row r="109" spans="1:4" x14ac:dyDescent="0.3">
      <c r="A109" s="11" t="s">
        <v>97</v>
      </c>
      <c r="B109" s="11" t="s">
        <v>8</v>
      </c>
      <c r="C109" s="11" t="s">
        <v>104</v>
      </c>
      <c r="D109" s="17">
        <f>'Ratio Comparison'!F43</f>
        <v>0.26543771810043998</v>
      </c>
    </row>
    <row r="110" spans="1:4" x14ac:dyDescent="0.3">
      <c r="A110" s="11" t="s">
        <v>95</v>
      </c>
      <c r="B110" s="11" t="s">
        <v>4</v>
      </c>
      <c r="C110" s="11" t="s">
        <v>105</v>
      </c>
      <c r="D110" s="17">
        <f>'Ratio Comparison'!B47</f>
        <v>0.1725203066010754</v>
      </c>
    </row>
    <row r="111" spans="1:4" x14ac:dyDescent="0.3">
      <c r="A111" s="11" t="s">
        <v>95</v>
      </c>
      <c r="B111" s="11" t="s">
        <v>5</v>
      </c>
      <c r="C111" s="11" t="s">
        <v>105</v>
      </c>
      <c r="D111" s="17">
        <f>'Ratio Comparison'!C47</f>
        <v>0.16492241663915483</v>
      </c>
    </row>
    <row r="112" spans="1:4" x14ac:dyDescent="0.3">
      <c r="A112" s="11" t="s">
        <v>95</v>
      </c>
      <c r="B112" s="11" t="s">
        <v>6</v>
      </c>
      <c r="C112" s="11" t="s">
        <v>105</v>
      </c>
      <c r="D112" s="17">
        <f>'Ratio Comparison'!D47</f>
        <v>0.2499192193356598</v>
      </c>
    </row>
    <row r="113" spans="1:4" x14ac:dyDescent="0.3">
      <c r="A113" s="11" t="s">
        <v>95</v>
      </c>
      <c r="B113" s="11" t="s">
        <v>7</v>
      </c>
      <c r="C113" s="11" t="s">
        <v>105</v>
      </c>
      <c r="D113" s="17">
        <f>'Ratio Comparison'!E47</f>
        <v>0.19381033133315939</v>
      </c>
    </row>
    <row r="114" spans="1:4" x14ac:dyDescent="0.3">
      <c r="A114" s="11" t="s">
        <v>95</v>
      </c>
      <c r="B114" s="11" t="s">
        <v>8</v>
      </c>
      <c r="C114" s="11" t="s">
        <v>105</v>
      </c>
      <c r="D114" s="17">
        <f>'Ratio Comparison'!F47</f>
        <v>0.17061177638518335</v>
      </c>
    </row>
    <row r="115" spans="1:4" x14ac:dyDescent="0.3">
      <c r="A115" s="11" t="s">
        <v>96</v>
      </c>
      <c r="B115" s="11" t="s">
        <v>4</v>
      </c>
      <c r="C115" s="11" t="s">
        <v>105</v>
      </c>
      <c r="D115" s="17">
        <f>'Ratio Comparison'!B48</f>
        <v>9.1893039049236E-2</v>
      </c>
    </row>
    <row r="116" spans="1:4" x14ac:dyDescent="0.3">
      <c r="A116" s="11" t="s">
        <v>96</v>
      </c>
      <c r="B116" s="11" t="s">
        <v>5</v>
      </c>
      <c r="C116" s="11" t="s">
        <v>105</v>
      </c>
      <c r="D116" s="17">
        <f>'Ratio Comparison'!C48</f>
        <v>0.15496932515337422</v>
      </c>
    </row>
    <row r="117" spans="1:4" x14ac:dyDescent="0.3">
      <c r="A117" s="11" t="s">
        <v>96</v>
      </c>
      <c r="B117" s="11" t="s">
        <v>6</v>
      </c>
      <c r="C117" s="11" t="s">
        <v>105</v>
      </c>
      <c r="D117" s="17">
        <f>'Ratio Comparison'!D48</f>
        <v>0.15337825749895639</v>
      </c>
    </row>
    <row r="118" spans="1:4" x14ac:dyDescent="0.3">
      <c r="A118" s="11" t="s">
        <v>96</v>
      </c>
      <c r="B118" s="11" t="s">
        <v>7</v>
      </c>
      <c r="C118" s="11" t="s">
        <v>105</v>
      </c>
      <c r="D118" s="17">
        <f>'Ratio Comparison'!E48</f>
        <v>0.13878051499275443</v>
      </c>
    </row>
    <row r="119" spans="1:4" x14ac:dyDescent="0.3">
      <c r="A119" s="11" t="s">
        <v>96</v>
      </c>
      <c r="B119" s="11" t="s">
        <v>8</v>
      </c>
      <c r="C119" s="11" t="s">
        <v>105</v>
      </c>
      <c r="D119" s="17">
        <f>'Ratio Comparison'!F48</f>
        <v>0.13914943508846728</v>
      </c>
    </row>
    <row r="120" spans="1:4" x14ac:dyDescent="0.3">
      <c r="A120" s="11" t="s">
        <v>97</v>
      </c>
      <c r="B120" s="11" t="s">
        <v>4</v>
      </c>
      <c r="C120" s="11" t="s">
        <v>105</v>
      </c>
      <c r="D120" s="17">
        <f>'Ratio Comparison'!B49</f>
        <v>0.15168577437080252</v>
      </c>
    </row>
    <row r="121" spans="1:4" x14ac:dyDescent="0.3">
      <c r="A121" s="11" t="s">
        <v>97</v>
      </c>
      <c r="B121" s="11" t="s">
        <v>5</v>
      </c>
      <c r="C121" s="11" t="s">
        <v>105</v>
      </c>
      <c r="D121" s="17">
        <f>'Ratio Comparison'!C49</f>
        <v>0.16198141681955378</v>
      </c>
    </row>
    <row r="122" spans="1:4" x14ac:dyDescent="0.3">
      <c r="A122" s="11" t="s">
        <v>97</v>
      </c>
      <c r="B122" s="11" t="s">
        <v>6</v>
      </c>
      <c r="C122" s="11" t="s">
        <v>105</v>
      </c>
      <c r="D122" s="17">
        <f>'Ratio Comparison'!D49</f>
        <v>0.17114864310896122</v>
      </c>
    </row>
    <row r="123" spans="1:4" x14ac:dyDescent="0.3">
      <c r="A123" s="11" t="s">
        <v>97</v>
      </c>
      <c r="B123" s="11" t="s">
        <v>7</v>
      </c>
      <c r="C123" s="11" t="s">
        <v>105</v>
      </c>
      <c r="D123" s="17">
        <f>'Ratio Comparison'!E49</f>
        <v>0.14533214533214533</v>
      </c>
    </row>
    <row r="124" spans="1:4" x14ac:dyDescent="0.3">
      <c r="A124" s="11" t="s">
        <v>97</v>
      </c>
      <c r="B124" s="11" t="s">
        <v>8</v>
      </c>
      <c r="C124" s="11" t="s">
        <v>105</v>
      </c>
      <c r="D124" s="17">
        <f>'Ratio Comparison'!F49</f>
        <v>0.21800906931548261</v>
      </c>
    </row>
    <row r="125" spans="1:4" x14ac:dyDescent="0.3">
      <c r="A125" s="11" t="s">
        <v>95</v>
      </c>
      <c r="B125" s="11" t="s">
        <v>4</v>
      </c>
      <c r="C125" s="11" t="s">
        <v>106</v>
      </c>
      <c r="D125" s="11">
        <f>'Ratio Comparison'!B53</f>
        <v>1.5706806282722512E-2</v>
      </c>
    </row>
    <row r="126" spans="1:4" x14ac:dyDescent="0.3">
      <c r="A126" s="11" t="s">
        <v>95</v>
      </c>
      <c r="B126" s="11" t="s">
        <v>5</v>
      </c>
      <c r="C126" s="11" t="s">
        <v>106</v>
      </c>
      <c r="D126" s="11">
        <f>'Ratio Comparison'!C53</f>
        <v>1.6784767032183998E-2</v>
      </c>
    </row>
    <row r="127" spans="1:4" x14ac:dyDescent="0.3">
      <c r="A127" s="11" t="s">
        <v>95</v>
      </c>
      <c r="B127" s="11" t="s">
        <v>6</v>
      </c>
      <c r="C127" s="11" t="s">
        <v>106</v>
      </c>
      <c r="D127" s="11">
        <f>'Ratio Comparison'!D53</f>
        <v>2.2246854520350814E-2</v>
      </c>
    </row>
    <row r="128" spans="1:4" x14ac:dyDescent="0.3">
      <c r="A128" s="11" t="s">
        <v>95</v>
      </c>
      <c r="B128" s="11" t="s">
        <v>7</v>
      </c>
      <c r="C128" s="11" t="s">
        <v>106</v>
      </c>
      <c r="D128" s="11">
        <f>'Ratio Comparison'!E53</f>
        <v>2.5882400370900442E-2</v>
      </c>
    </row>
    <row r="129" spans="1:4" x14ac:dyDescent="0.3">
      <c r="A129" s="11" t="s">
        <v>95</v>
      </c>
      <c r="B129" s="11" t="s">
        <v>8</v>
      </c>
      <c r="C129" s="11" t="s">
        <v>106</v>
      </c>
      <c r="D129" s="11">
        <f>'Ratio Comparison'!F53</f>
        <v>2.3281913157035587E-2</v>
      </c>
    </row>
    <row r="130" spans="1:4" x14ac:dyDescent="0.3">
      <c r="A130" s="11" t="s">
        <v>96</v>
      </c>
      <c r="B130" s="11" t="s">
        <v>4</v>
      </c>
      <c r="C130" s="11" t="s">
        <v>106</v>
      </c>
      <c r="D130" s="11">
        <f>'Ratio Comparison'!B54</f>
        <v>0.96403440187646594</v>
      </c>
    </row>
    <row r="131" spans="1:4" x14ac:dyDescent="0.3">
      <c r="A131" s="11" t="s">
        <v>96</v>
      </c>
      <c r="B131" s="11" t="s">
        <v>5</v>
      </c>
      <c r="C131" s="11" t="s">
        <v>106</v>
      </c>
      <c r="D131" s="11">
        <f>'Ratio Comparison'!C54</f>
        <v>0.84352009054895305</v>
      </c>
    </row>
    <row r="132" spans="1:4" x14ac:dyDescent="0.3">
      <c r="A132" s="11" t="s">
        <v>96</v>
      </c>
      <c r="B132" s="11" t="s">
        <v>6</v>
      </c>
      <c r="C132" s="11" t="s">
        <v>106</v>
      </c>
      <c r="D132" s="11">
        <f>'Ratio Comparison'!D54</f>
        <v>0.51775748351090822</v>
      </c>
    </row>
    <row r="133" spans="1:4" x14ac:dyDescent="0.3">
      <c r="A133" s="11" t="s">
        <v>96</v>
      </c>
      <c r="B133" s="11" t="s">
        <v>7</v>
      </c>
      <c r="C133" s="11" t="s">
        <v>106</v>
      </c>
      <c r="D133" s="11">
        <f>'Ratio Comparison'!E54</f>
        <v>0.2812213039485767</v>
      </c>
    </row>
    <row r="134" spans="1:4" x14ac:dyDescent="0.3">
      <c r="A134" s="11" t="s">
        <v>96</v>
      </c>
      <c r="B134" s="11" t="s">
        <v>8</v>
      </c>
      <c r="C134" s="11" t="s">
        <v>106</v>
      </c>
      <c r="D134" s="11">
        <f>'Ratio Comparison'!F54</f>
        <v>0.26590953593107497</v>
      </c>
    </row>
    <row r="135" spans="1:4" x14ac:dyDescent="0.3">
      <c r="A135" s="11" t="s">
        <v>97</v>
      </c>
      <c r="B135" s="11" t="s">
        <v>4</v>
      </c>
      <c r="C135" s="11" t="s">
        <v>106</v>
      </c>
      <c r="D135" s="11">
        <f>'Ratio Comparison'!B55</f>
        <v>0.1366906474820144</v>
      </c>
    </row>
    <row r="136" spans="1:4" x14ac:dyDescent="0.3">
      <c r="A136" s="11" t="s">
        <v>97</v>
      </c>
      <c r="B136" s="11" t="s">
        <v>5</v>
      </c>
      <c r="C136" s="11" t="s">
        <v>106</v>
      </c>
      <c r="D136" s="11">
        <f>'Ratio Comparison'!C55</f>
        <v>0.11020740138267589</v>
      </c>
    </row>
    <row r="137" spans="1:4" x14ac:dyDescent="0.3">
      <c r="A137" s="11" t="s">
        <v>97</v>
      </c>
      <c r="B137" s="11" t="s">
        <v>6</v>
      </c>
      <c r="C137" s="11" t="s">
        <v>106</v>
      </c>
      <c r="D137" s="11">
        <f>'Ratio Comparison'!D55</f>
        <v>0.1032624962586052</v>
      </c>
    </row>
    <row r="138" spans="1:4" x14ac:dyDescent="0.3">
      <c r="A138" s="11" t="s">
        <v>97</v>
      </c>
      <c r="B138" s="11" t="s">
        <v>7</v>
      </c>
      <c r="C138" s="11" t="s">
        <v>106</v>
      </c>
      <c r="D138" s="11">
        <f>'Ratio Comparison'!E55</f>
        <v>0.29102244389027432</v>
      </c>
    </row>
    <row r="139" spans="1:4" x14ac:dyDescent="0.3">
      <c r="A139" s="11" t="s">
        <v>97</v>
      </c>
      <c r="B139" s="11" t="s">
        <v>8</v>
      </c>
      <c r="C139" s="11" t="s">
        <v>106</v>
      </c>
      <c r="D139" s="11">
        <f>'Ratio Comparison'!F55</f>
        <v>8.6096567771960439E-2</v>
      </c>
    </row>
    <row r="140" spans="1:4" x14ac:dyDescent="0.3">
      <c r="A140" s="11" t="s">
        <v>95</v>
      </c>
      <c r="B140" s="11" t="s">
        <v>4</v>
      </c>
      <c r="C140" s="11" t="s">
        <v>107</v>
      </c>
      <c r="D140" s="11">
        <f>'Ratio Comparison'!B59</f>
        <v>0.74373555312903272</v>
      </c>
    </row>
    <row r="141" spans="1:4" x14ac:dyDescent="0.3">
      <c r="A141" s="11" t="s">
        <v>95</v>
      </c>
      <c r="B141" s="11" t="s">
        <v>5</v>
      </c>
      <c r="C141" s="11" t="s">
        <v>107</v>
      </c>
      <c r="D141" s="11">
        <f>'Ratio Comparison'!C59</f>
        <v>0.82887517615991901</v>
      </c>
    </row>
    <row r="142" spans="1:4" x14ac:dyDescent="0.3">
      <c r="A142" s="11" t="s">
        <v>95</v>
      </c>
      <c r="B142" s="11" t="s">
        <v>6</v>
      </c>
      <c r="C142" s="11" t="s">
        <v>107</v>
      </c>
      <c r="D142" s="11">
        <f>'Ratio Comparison'!D59</f>
        <v>0.78849412094421589</v>
      </c>
    </row>
    <row r="143" spans="1:4" x14ac:dyDescent="0.3">
      <c r="A143" s="11" t="s">
        <v>95</v>
      </c>
      <c r="B143" s="11" t="s">
        <v>7</v>
      </c>
      <c r="C143" s="11" t="s">
        <v>107</v>
      </c>
      <c r="D143" s="11">
        <f>'Ratio Comparison'!E59</f>
        <v>0.76775162744116177</v>
      </c>
    </row>
    <row r="144" spans="1:4" x14ac:dyDescent="0.3">
      <c r="A144" s="11" t="s">
        <v>95</v>
      </c>
      <c r="B144" s="11" t="s">
        <v>8</v>
      </c>
      <c r="C144" s="11" t="s">
        <v>107</v>
      </c>
      <c r="D144" s="11">
        <f>'Ratio Comparison'!F59</f>
        <v>0.80835590330023066</v>
      </c>
    </row>
    <row r="145" spans="1:4" x14ac:dyDescent="0.3">
      <c r="A145" s="11" t="s">
        <v>96</v>
      </c>
      <c r="B145" s="11" t="s">
        <v>4</v>
      </c>
      <c r="C145" s="11" t="s">
        <v>107</v>
      </c>
      <c r="D145" s="11">
        <f>'Ratio Comparison'!B60</f>
        <v>1.8908507223113964</v>
      </c>
    </row>
    <row r="146" spans="1:4" x14ac:dyDescent="0.3">
      <c r="A146" s="11" t="s">
        <v>96</v>
      </c>
      <c r="B146" s="11" t="s">
        <v>5</v>
      </c>
      <c r="C146" s="11" t="s">
        <v>107</v>
      </c>
      <c r="D146" s="11">
        <f>'Ratio Comparison'!C60</f>
        <v>1.7536309844002151</v>
      </c>
    </row>
    <row r="147" spans="1:4" x14ac:dyDescent="0.3">
      <c r="A147" s="11" t="s">
        <v>96</v>
      </c>
      <c r="B147" s="11" t="s">
        <v>6</v>
      </c>
      <c r="C147" s="11" t="s">
        <v>107</v>
      </c>
      <c r="D147" s="11">
        <f>'Ratio Comparison'!D60</f>
        <v>1.85703211517165</v>
      </c>
    </row>
    <row r="148" spans="1:4" x14ac:dyDescent="0.3">
      <c r="A148" s="11" t="s">
        <v>96</v>
      </c>
      <c r="B148" s="11" t="s">
        <v>7</v>
      </c>
      <c r="C148" s="11" t="s">
        <v>107</v>
      </c>
      <c r="D148" s="11">
        <f>'Ratio Comparison'!E60</f>
        <v>2.038400363553738</v>
      </c>
    </row>
    <row r="149" spans="1:4" x14ac:dyDescent="0.3">
      <c r="A149" s="11" t="s">
        <v>96</v>
      </c>
      <c r="B149" s="11" t="s">
        <v>8</v>
      </c>
      <c r="C149" s="11" t="s">
        <v>107</v>
      </c>
      <c r="D149" s="11">
        <f>'Ratio Comparison'!F60</f>
        <v>1.9366291670967075</v>
      </c>
    </row>
    <row r="150" spans="1:4" x14ac:dyDescent="0.3">
      <c r="A150" s="11" t="s">
        <v>97</v>
      </c>
      <c r="B150" s="11" t="s">
        <v>4</v>
      </c>
      <c r="C150" s="11" t="s">
        <v>107</v>
      </c>
      <c r="D150" s="11">
        <f>'Ratio Comparison'!B61</f>
        <v>2.6714389271475172</v>
      </c>
    </row>
    <row r="151" spans="1:4" x14ac:dyDescent="0.3">
      <c r="A151" s="11" t="s">
        <v>97</v>
      </c>
      <c r="B151" s="11" t="s">
        <v>5</v>
      </c>
      <c r="C151" s="11" t="s">
        <v>107</v>
      </c>
      <c r="D151" s="11">
        <f>'Ratio Comparison'!C61</f>
        <v>2.838877688172043</v>
      </c>
    </row>
    <row r="152" spans="1:4" x14ac:dyDescent="0.3">
      <c r="A152" s="11" t="s">
        <v>97</v>
      </c>
      <c r="B152" s="11" t="s">
        <v>6</v>
      </c>
      <c r="C152" s="11" t="s">
        <v>107</v>
      </c>
      <c r="D152" s="11">
        <f>'Ratio Comparison'!D61</f>
        <v>2.3181602204694478</v>
      </c>
    </row>
    <row r="153" spans="1:4" x14ac:dyDescent="0.3">
      <c r="A153" s="11" t="s">
        <v>97</v>
      </c>
      <c r="B153" s="11" t="s">
        <v>7</v>
      </c>
      <c r="C153" s="11" t="s">
        <v>107</v>
      </c>
      <c r="D153" s="11">
        <f>'Ratio Comparison'!E61</f>
        <v>1.65685229229886</v>
      </c>
    </row>
    <row r="154" spans="1:4" x14ac:dyDescent="0.3">
      <c r="A154" s="11" t="s">
        <v>97</v>
      </c>
      <c r="B154" s="11" t="s">
        <v>8</v>
      </c>
      <c r="C154" s="11" t="s">
        <v>107</v>
      </c>
      <c r="D154" s="11">
        <f>'Ratio Comparison'!F61</f>
        <v>1.7565619784554696</v>
      </c>
    </row>
    <row r="155" spans="1:4" x14ac:dyDescent="0.3">
      <c r="A155" s="11" t="s">
        <v>95</v>
      </c>
      <c r="B155" s="11" t="s">
        <v>4</v>
      </c>
      <c r="C155" s="11" t="s">
        <v>108</v>
      </c>
      <c r="D155" s="11">
        <f>'Ratio Comparison'!B65</f>
        <v>143.2560975609756</v>
      </c>
    </row>
    <row r="156" spans="1:4" x14ac:dyDescent="0.3">
      <c r="A156" s="11" t="s">
        <v>95</v>
      </c>
      <c r="B156" s="11" t="s">
        <v>5</v>
      </c>
      <c r="C156" s="11" t="s">
        <v>108</v>
      </c>
      <c r="D156" s="11">
        <f>'Ratio Comparison'!C65</f>
        <v>147.57954545454547</v>
      </c>
    </row>
    <row r="157" spans="1:4" x14ac:dyDescent="0.3">
      <c r="A157" s="11" t="s">
        <v>95</v>
      </c>
      <c r="B157" s="11" t="s">
        <v>6</v>
      </c>
      <c r="C157" s="11" t="s">
        <v>108</v>
      </c>
      <c r="D157" s="11">
        <f>'Ratio Comparison'!D65</f>
        <v>47.736654804270465</v>
      </c>
    </row>
    <row r="158" spans="1:4" x14ac:dyDescent="0.3">
      <c r="A158" s="11" t="s">
        <v>95</v>
      </c>
      <c r="B158" s="11" t="s">
        <v>7</v>
      </c>
      <c r="C158" s="11" t="s">
        <v>108</v>
      </c>
      <c r="D158" s="11">
        <f>'Ratio Comparison'!E65</f>
        <v>40.540785498489427</v>
      </c>
    </row>
    <row r="159" spans="1:4" x14ac:dyDescent="0.3">
      <c r="A159" s="11" t="s">
        <v>95</v>
      </c>
      <c r="B159" s="11" t="s">
        <v>8</v>
      </c>
      <c r="C159" s="11" t="s">
        <v>108</v>
      </c>
      <c r="D159" s="11">
        <f>'Ratio Comparison'!F65</f>
        <v>40.970059880239518</v>
      </c>
    </row>
    <row r="160" spans="1:4" x14ac:dyDescent="0.3">
      <c r="A160" s="11" t="s">
        <v>96</v>
      </c>
      <c r="B160" s="11" t="s">
        <v>4</v>
      </c>
      <c r="C160" s="11" t="s">
        <v>108</v>
      </c>
      <c r="D160" s="11">
        <f>'Ratio Comparison'!B66</f>
        <v>15.4375</v>
      </c>
    </row>
    <row r="161" spans="1:4" x14ac:dyDescent="0.3">
      <c r="A161" s="11" t="s">
        <v>96</v>
      </c>
      <c r="B161" s="11" t="s">
        <v>5</v>
      </c>
      <c r="C161" s="11" t="s">
        <v>108</v>
      </c>
      <c r="D161" s="11">
        <f>'Ratio Comparison'!C66</f>
        <v>16.68639053254438</v>
      </c>
    </row>
    <row r="162" spans="1:4" x14ac:dyDescent="0.3">
      <c r="A162" s="11" t="s">
        <v>96</v>
      </c>
      <c r="B162" s="11" t="s">
        <v>6</v>
      </c>
      <c r="C162" s="11" t="s">
        <v>108</v>
      </c>
      <c r="D162" s="11">
        <f>'Ratio Comparison'!D66</f>
        <v>18.798780487804876</v>
      </c>
    </row>
    <row r="163" spans="1:4" x14ac:dyDescent="0.3">
      <c r="A163" s="11" t="s">
        <v>96</v>
      </c>
      <c r="B163" s="11" t="s">
        <v>7</v>
      </c>
      <c r="C163" s="11" t="s">
        <v>108</v>
      </c>
      <c r="D163" s="11">
        <f>'Ratio Comparison'!E66</f>
        <v>22.471014492753625</v>
      </c>
    </row>
    <row r="164" spans="1:4" x14ac:dyDescent="0.3">
      <c r="A164" s="11" t="s">
        <v>96</v>
      </c>
      <c r="B164" s="11" t="s">
        <v>8</v>
      </c>
      <c r="C164" s="11" t="s">
        <v>108</v>
      </c>
      <c r="D164" s="11">
        <f>'Ratio Comparison'!F66</f>
        <v>30.288288288288289</v>
      </c>
    </row>
    <row r="165" spans="1:4" x14ac:dyDescent="0.3">
      <c r="A165" s="11" t="s">
        <v>97</v>
      </c>
      <c r="B165" s="11" t="s">
        <v>4</v>
      </c>
      <c r="C165" s="11" t="s">
        <v>108</v>
      </c>
      <c r="D165" s="11">
        <f>'Ratio Comparison'!B67</f>
        <v>15.698019801980198</v>
      </c>
    </row>
    <row r="166" spans="1:4" x14ac:dyDescent="0.3">
      <c r="A166" s="11" t="s">
        <v>97</v>
      </c>
      <c r="B166" s="11" t="s">
        <v>5</v>
      </c>
      <c r="C166" s="11" t="s">
        <v>108</v>
      </c>
      <c r="D166" s="11">
        <f>'Ratio Comparison'!C67</f>
        <v>21.309677419354838</v>
      </c>
    </row>
    <row r="167" spans="1:4" x14ac:dyDescent="0.3">
      <c r="A167" s="11" t="s">
        <v>97</v>
      </c>
      <c r="B167" s="11" t="s">
        <v>6</v>
      </c>
      <c r="C167" s="11" t="s">
        <v>108</v>
      </c>
      <c r="D167" s="11">
        <f>'Ratio Comparison'!D67</f>
        <v>36.586206896551722</v>
      </c>
    </row>
    <row r="168" spans="1:4" x14ac:dyDescent="0.3">
      <c r="A168" s="11" t="s">
        <v>97</v>
      </c>
      <c r="B168" s="11" t="s">
        <v>7</v>
      </c>
      <c r="C168" s="11" t="s">
        <v>108</v>
      </c>
      <c r="D168" s="11">
        <f>'Ratio Comparison'!E67</f>
        <v>30.933823529411764</v>
      </c>
    </row>
    <row r="169" spans="1:4" x14ac:dyDescent="0.3">
      <c r="A169" s="11" t="s">
        <v>97</v>
      </c>
      <c r="B169" s="11" t="s">
        <v>8</v>
      </c>
      <c r="C169" s="11" t="s">
        <v>108</v>
      </c>
      <c r="D169" s="11">
        <f>'Ratio Comparison'!F67</f>
        <v>28.873417721518987</v>
      </c>
    </row>
    <row r="172" spans="1:4" s="14" customFormat="1" x14ac:dyDescent="0.3">
      <c r="A172" s="39" t="s">
        <v>114</v>
      </c>
      <c r="B172" s="40"/>
      <c r="C172" s="40"/>
      <c r="D172" s="40"/>
    </row>
    <row r="173" spans="1:4" x14ac:dyDescent="0.3">
      <c r="A173" s="9"/>
      <c r="B173" s="10" t="s">
        <v>95</v>
      </c>
      <c r="C173" s="10" t="s">
        <v>96</v>
      </c>
      <c r="D173" s="10" t="s">
        <v>97</v>
      </c>
    </row>
    <row r="174" spans="1:4" x14ac:dyDescent="0.3">
      <c r="A174" s="11" t="s">
        <v>100</v>
      </c>
      <c r="B174" s="16">
        <f>IFERROR(AVERAGEIFS($D$5:$D$169,$A$5:$A$169,"Hindustan Unilever",$C$5:$C$169,"EBITDA Margin (%)"),"n/a")</f>
        <v>0.22978947008076905</v>
      </c>
      <c r="C174" s="16">
        <f>IFERROR(AVERAGEIFS($D$5:$D$169,$A$5:$A$169,"Britannia Industries",$C$5:$C$169,"EBITDA Margin (%)"),"n/a")</f>
        <v>0.1895805992184138</v>
      </c>
      <c r="D174" s="16">
        <f>IFERROR(AVERAGEIFS($D$5:$D$169,$A$5:$A$169,"Nestle India",$C$5:$C$169,"EBITDA Margin (%)"),"n/a")</f>
        <v>0.23739374544943287</v>
      </c>
    </row>
    <row r="175" spans="1:4" x14ac:dyDescent="0.3">
      <c r="A175" s="11" t="s">
        <v>101</v>
      </c>
      <c r="B175" s="16">
        <f>IFERROR(AVERAGEIFS($D$5:$D$169,$A$5:$A$169,"Hindustan Unilever",$C$5:$C$169,"EBIT / Operating Margin (%)"),"n/a")</f>
        <v>0.2172292456633394</v>
      </c>
      <c r="C175" s="16">
        <f>IFERROR(AVERAGEIFS($D$5:$D$169,$A$5:$A$169,"Britannia Industries",$C$5:$C$169,"EBIT / Operating Margin (%)"),"n/a")</f>
        <v>0.1732245854404158</v>
      </c>
      <c r="D175" s="16">
        <f>IFERROR(AVERAGEIFS($D$5:$D$169,$A$5:$A$169,"Nestle India",$C$5:$C$169,"EBIT / Operating Margin (%)"),"n/a")</f>
        <v>0.20666621880604277</v>
      </c>
    </row>
    <row r="176" spans="1:4" x14ac:dyDescent="0.3">
      <c r="A176" s="11" t="s">
        <v>102</v>
      </c>
      <c r="B176" s="16">
        <f>IFERROR(AVERAGEIFS($D$5:$D$169,$A$5:$A$169,"Hindustan Unilever",$C$5:$C$169,"Net Profit Margin (%)"),"n/a")</f>
        <v>0.18186409816322183</v>
      </c>
      <c r="C176" s="16">
        <f>IFERROR(AVERAGEIFS($D$5:$D$169,$A$5:$A$169,"Britannia Industries",$C$5:$C$169,"Net Profit Margin (%)"),"n/a")</f>
        <v>0.12697715870200108</v>
      </c>
      <c r="D176" s="16">
        <f>IFERROR(AVERAGEIFS($D$5:$D$169,$A$5:$A$169,"Nestle India",$C$5:$C$169,"Net Profit Margin (%)"),"n/a")</f>
        <v>0.1512643399172354</v>
      </c>
    </row>
    <row r="177" spans="1:4" x14ac:dyDescent="0.3">
      <c r="A177" s="11" t="s">
        <v>103</v>
      </c>
      <c r="B177" s="16">
        <f>IFERROR(AVERAGEIFS($D$5:$D$169,$A$5:$A$169,"Hindustan Unilever",$C$5:$C$169,"Return on Equity - ROE (%)"),"n/a")</f>
        <v>0.22051824129445552</v>
      </c>
      <c r="C177" s="16">
        <f>IFERROR(AVERAGEIFS($D$5:$D$169,$A$5:$A$169,"Britannia Industries",$C$5:$C$169,"Return on Equity - ROE (%)"),"n/a")</f>
        <v>0.55847428659345122</v>
      </c>
      <c r="D177" s="16">
        <f>IFERROR(AVERAGEIFS($D$5:$D$169,$A$5:$A$169,"Nestle India",$C$5:$C$169,"Return on Equity - ROE (%)"),"n/a")</f>
        <v>0.94328412450880672</v>
      </c>
    </row>
    <row r="178" spans="1:4" x14ac:dyDescent="0.3">
      <c r="A178" s="11" t="s">
        <v>104</v>
      </c>
      <c r="B178" s="16">
        <f>IFERROR(AVERAGEIFS($D$5:$D$169,$A$5:$A$169,"Hindustan Unilever",$C$5:$C$169,"Return on Assets - ROA (%)"),"n/a")</f>
        <v>0.14343879271209314</v>
      </c>
      <c r="C178" s="16">
        <f>IFERROR(AVERAGEIFS($D$5:$D$169,$A$5:$A$169,"Britannia Industries",$C$5:$C$169,"Return on Assets - ROA (%)"),"n/a")</f>
        <v>0.24019239607095014</v>
      </c>
      <c r="D178" s="16">
        <f>IFERROR(AVERAGEIFS($D$5:$D$169,$A$5:$A$169,"Nestle India",$C$5:$C$169,"Return on Assets - ROA (%)"),"n/a")</f>
        <v>0.33756813246475381</v>
      </c>
    </row>
    <row r="179" spans="1:4" x14ac:dyDescent="0.3">
      <c r="A179" s="11" t="s">
        <v>105</v>
      </c>
      <c r="B179" s="16">
        <f>IFERROR(AVERAGEIFS($D$5:$D$169,$A$5:$A$169,"Hindustan Unilever",$C$5:$C$169,"Operating Cash Flow Margin (%)"),"n/a")</f>
        <v>0.19035681005884655</v>
      </c>
      <c r="C179" s="16">
        <f>IFERROR(AVERAGEIFS($D$5:$D$169,$A$5:$A$169,"Britannia Industries",$C$5:$C$169,"Operating Cash Flow Margin (%)"),"n/a")</f>
        <v>0.13563411435655767</v>
      </c>
      <c r="D179" s="16">
        <f>IFERROR(AVERAGEIFS($D$5:$D$169,$A$5:$A$169,"Nestle India",$C$5:$C$169,"Operating Cash Flow Margin (%)"),"n/a")</f>
        <v>0.16963140978938909</v>
      </c>
    </row>
    <row r="180" spans="1:4" x14ac:dyDescent="0.3">
      <c r="A180" s="11" t="s">
        <v>106</v>
      </c>
      <c r="B180" s="12">
        <f>IFERROR(AVERAGEIFS($D$5:$D$169,$A$5:$A$169,"Hindustan Unilever",$C$5:$C$169,"Debt-to-Equity (x)"),"n/a")</f>
        <v>2.0780548272638671E-2</v>
      </c>
      <c r="C180" s="12">
        <f>IFERROR(AVERAGEIFS($D$5:$D$169,$A$5:$A$169,"Britannia Industries",$C$5:$C$169,"Debt-to-Equity (x)"),"n/a")</f>
        <v>0.57448856316319585</v>
      </c>
      <c r="D180" s="12">
        <f>IFERROR(AVERAGEIFS($D$5:$D$169,$A$5:$A$169,"Nestle India",$C$5:$C$169,"Debt-to-Equity (x)"),"n/a")</f>
        <v>0.14545591135710606</v>
      </c>
    </row>
    <row r="181" spans="1:4" x14ac:dyDescent="0.3">
      <c r="A181" s="11" t="s">
        <v>107</v>
      </c>
      <c r="B181" s="12">
        <f>IFERROR(AVERAGEIFS($D$5:$D$169,$A$5:$A$169,"Hindustan Unilever",$C$5:$C$169,"Asset Turnover (x)"),"n/a")</f>
        <v>0.78744247619491203</v>
      </c>
      <c r="C181" s="12">
        <f>IFERROR(AVERAGEIFS($D$5:$D$169,$A$5:$A$169,"Britannia Industries",$C$5:$C$169,"Asset Turnover (x)"),"n/a")</f>
        <v>1.8953086705067417</v>
      </c>
      <c r="D181" s="12">
        <f>IFERROR(AVERAGEIFS($D$5:$D$169,$A$5:$A$169,"Nestle India",$C$5:$C$169,"Asset Turnover (x)"),"n/a")</f>
        <v>2.2483782213086672</v>
      </c>
    </row>
    <row r="182" spans="1:4" x14ac:dyDescent="0.3">
      <c r="A182" s="11" t="s">
        <v>108</v>
      </c>
      <c r="B182" s="12">
        <f>IFERROR(AVERAGEIFS($D$5:$D$169,$A$5:$A$169,"Hindustan Unilever",$C$5:$C$169,"Interest Coverage Ratio (x)"),"n/a")</f>
        <v>84.016628639704095</v>
      </c>
      <c r="C182" s="12">
        <f>IFERROR(AVERAGEIFS($D$5:$D$169,$A$5:$A$169,"Britannia Industries",$C$5:$C$169,"Interest Coverage Ratio (x)"),"n/a")</f>
        <v>20.736394760278234</v>
      </c>
      <c r="D182" s="12">
        <f>IFERROR(AVERAGEIFS($D$5:$D$169,$A$5:$A$169,"Nestle India",$C$5:$C$169,"Interest Coverage Ratio (x)"),"n/a")</f>
        <v>26.680229073763503</v>
      </c>
    </row>
    <row r="185" spans="1:4" s="14" customFormat="1" x14ac:dyDescent="0.3">
      <c r="A185" s="39" t="s">
        <v>115</v>
      </c>
      <c r="B185" s="40"/>
      <c r="C185" s="40"/>
      <c r="D185" s="40"/>
    </row>
    <row r="186" spans="1:4" x14ac:dyDescent="0.3">
      <c r="A186" s="9"/>
      <c r="B186" s="10" t="s">
        <v>95</v>
      </c>
      <c r="C186" s="10" t="s">
        <v>96</v>
      </c>
      <c r="D186" s="10" t="s">
        <v>97</v>
      </c>
    </row>
    <row r="187" spans="1:4" x14ac:dyDescent="0.3">
      <c r="A187" s="11" t="s">
        <v>4</v>
      </c>
      <c r="B187" s="12">
        <f>IFERROR(SUMIFS($D$5:$D$169,$A$5:$A$169,"Hindustan Unilever",$B$5:$B$169,"FY2022",$C$5:$C$169,"Revenue (Rs. Crore)"),"n/a")</f>
        <v>52446</v>
      </c>
      <c r="C187" s="12">
        <f>IFERROR(SUMIFS($D$5:$D$169,$A$5:$A$169,"Britannia Industries",$B$5:$B$169,"FY2022",$C$5:$C$169,"Revenue (Rs. Crore)"),"n/a")</f>
        <v>14136</v>
      </c>
      <c r="D187" s="12">
        <f>IFERROR(SUMIFS($D$5:$D$169,$A$5:$A$169,"Nestle India",$B$5:$B$169,"FY2022",$C$5:$C$169,"Revenue (Rs. Crore)"),"n/a")</f>
        <v>14741</v>
      </c>
    </row>
    <row r="188" spans="1:4" x14ac:dyDescent="0.3">
      <c r="A188" s="11" t="s">
        <v>5</v>
      </c>
      <c r="B188" s="12">
        <f>IFERROR(SUMIFS($D$5:$D$169,$A$5:$A$169,"Hindustan Unilever",$B$5:$B$169,"FY2023",$C$5:$C$169,"Revenue (Rs. Crore)"),"n/a")</f>
        <v>60580</v>
      </c>
      <c r="C188" s="12">
        <f>IFERROR(SUMIFS($D$5:$D$169,$A$5:$A$169,"Britannia Industries",$B$5:$B$169,"FY2023",$C$5:$C$169,"Revenue (Rs. Crore)"),"n/a")</f>
        <v>16300</v>
      </c>
      <c r="D188" s="12">
        <f>IFERROR(SUMIFS($D$5:$D$169,$A$5:$A$169,"Nestle India",$B$5:$B$169,"FY2023",$C$5:$C$169,"Revenue (Rs. Crore)"),"n/a")</f>
        <v>16897</v>
      </c>
    </row>
    <row r="189" spans="1:4" x14ac:dyDescent="0.3">
      <c r="A189" s="11" t="s">
        <v>6</v>
      </c>
      <c r="B189" s="12">
        <f>IFERROR(SUMIFS($D$5:$D$169,$A$5:$A$169,"Hindustan Unilever",$B$5:$B$169,"FY2024",$C$5:$C$169,"Revenue (Rs. Crore)"),"n/a")</f>
        <v>61896</v>
      </c>
      <c r="C189" s="12">
        <f>IFERROR(SUMIFS($D$5:$D$169,$A$5:$A$169,"Britannia Industries",$B$5:$B$169,"FY2024",$C$5:$C$169,"Revenue (Rs. Crore)"),"n/a")</f>
        <v>16769</v>
      </c>
      <c r="D189" s="12">
        <f>IFERROR(SUMIFS($D$5:$D$169,$A$5:$A$169,"Nestle India",$B$5:$B$169,"FY2024",$C$5:$C$169,"Revenue (Rs. Crore)"),"n/a")</f>
        <v>24394</v>
      </c>
    </row>
    <row r="190" spans="1:4" x14ac:dyDescent="0.3">
      <c r="A190" s="11" t="s">
        <v>7</v>
      </c>
      <c r="B190" s="12">
        <f>IFERROR(SUMIFS($D$5:$D$169,$A$5:$A$169,"Hindustan Unilever",$B$5:$B$169,"FY2025",$C$5:$C$169,"Revenue (Rs. Crore)"),"n/a")</f>
        <v>61328</v>
      </c>
      <c r="C190" s="12">
        <f>IFERROR(SUMIFS($D$5:$D$169,$A$5:$A$169,"Britannia Industries",$B$5:$B$169,"FY2025",$C$5:$C$169,"Revenue (Rs. Crore)"),"n/a")</f>
        <v>17942</v>
      </c>
      <c r="D190" s="12">
        <f>IFERROR(SUMIFS($D$5:$D$169,$A$5:$A$169,"Nestle India",$B$5:$B$169,"FY2025",$C$5:$C$169,"Revenue (Rs. Crore)"),"n/a")</f>
        <v>20202</v>
      </c>
    </row>
    <row r="191" spans="1:4" x14ac:dyDescent="0.3">
      <c r="A191" s="11" t="s">
        <v>8</v>
      </c>
      <c r="B191" s="12">
        <f>IFERROR(SUMIFS($D$5:$D$169,$A$5:$A$169,"Hindustan Unilever",$B$5:$B$169,"FY2026",$C$5:$C$169,"Revenue (Rs. Crore)"),"n/a")</f>
        <v>64468</v>
      </c>
      <c r="C191" s="12">
        <f>IFERROR(SUMIFS($D$5:$D$169,$A$5:$A$169,"Britannia Industries",$B$5:$B$169,"FY2026",$C$5:$C$169,"Revenue (Rs. Crore)"),"n/a")</f>
        <v>18764</v>
      </c>
      <c r="D191" s="12">
        <f>IFERROR(SUMIFS($D$5:$D$169,$A$5:$A$169,"Nestle India",$B$5:$B$169,"FY2026",$C$5:$C$169,"Revenue (Rs. Crore)"),"n/a")</f>
        <v>23155</v>
      </c>
    </row>
    <row r="194" spans="1:4" s="14" customFormat="1" x14ac:dyDescent="0.3">
      <c r="A194" s="39" t="s">
        <v>116</v>
      </c>
      <c r="B194" s="40"/>
      <c r="C194" s="40"/>
      <c r="D194" s="40"/>
    </row>
    <row r="195" spans="1:4" x14ac:dyDescent="0.3">
      <c r="A195" s="9"/>
      <c r="B195" s="10" t="s">
        <v>95</v>
      </c>
      <c r="C195" s="10" t="s">
        <v>96</v>
      </c>
      <c r="D195" s="10" t="s">
        <v>97</v>
      </c>
    </row>
    <row r="196" spans="1:4" x14ac:dyDescent="0.3">
      <c r="A196" s="11" t="s">
        <v>4</v>
      </c>
      <c r="B196" s="16">
        <f>IFERROR(AVERAGEIFS($D$5:$D$169,$A$5:$A$169,"Hindustan Unilever",$B$5:$B$169,"FY2022",$C$5:$C$169,"Net Profit Margin (%)"),"n/a")</f>
        <v>0.16929794455249209</v>
      </c>
      <c r="C196" s="16">
        <f>IFERROR(AVERAGEIFS($D$5:$D$169,$A$5:$A$169,"Britannia Industries",$B$5:$B$169,"FY2022",$C$5:$C$169,"Net Profit Margin (%)"),"n/a")</f>
        <v>0.10724391624221845</v>
      </c>
      <c r="D196" s="16">
        <f>IFERROR(AVERAGEIFS($D$5:$D$169,$A$5:$A$169,"Nestle India",$B$5:$B$169,"FY2022",$C$5:$C$169,"Net Profit Margin (%)"),"n/a")</f>
        <v>0.14368089003459739</v>
      </c>
    </row>
    <row r="197" spans="1:4" x14ac:dyDescent="0.3">
      <c r="A197" s="11" t="s">
        <v>5</v>
      </c>
      <c r="B197" s="16">
        <f>IFERROR(AVERAGEIFS($D$5:$D$169,$A$5:$A$169,"Hindustan Unilever",$B$5:$B$169,"FY2023",$C$5:$C$169,"Net Profit Margin (%)"),"n/a")</f>
        <v>0.16705183228788378</v>
      </c>
      <c r="C197" s="16">
        <f>IFERROR(AVERAGEIFS($D$5:$D$169,$A$5:$A$169,"Britannia Industries",$B$5:$B$169,"FY2023",$C$5:$C$169,"Net Profit Margin (%)"),"n/a")</f>
        <v>0.14171779141104293</v>
      </c>
      <c r="D197" s="16">
        <f>IFERROR(AVERAGEIFS($D$5:$D$169,$A$5:$A$169,"Nestle India",$B$5:$B$169,"FY2023",$C$5:$C$169,"Net Profit Margin (%)"),"n/a")</f>
        <v>0.14150440906669823</v>
      </c>
    </row>
    <row r="198" spans="1:4" x14ac:dyDescent="0.3">
      <c r="A198" s="11" t="s">
        <v>6</v>
      </c>
      <c r="B198" s="16">
        <f>IFERROR(AVERAGEIFS($D$5:$D$169,$A$5:$A$169,"Hindustan Unilever",$B$5:$B$169,"FY2024",$C$5:$C$169,"Net Profit Margin (%)"),"n/a")</f>
        <v>0.16603657748481324</v>
      </c>
      <c r="C198" s="16">
        <f>IFERROR(AVERAGEIFS($D$5:$D$169,$A$5:$A$169,"Britannia Industries",$B$5:$B$169,"FY2024",$C$5:$C$169,"Net Profit Margin (%)"),"n/a")</f>
        <v>0.12743753354403961</v>
      </c>
      <c r="D198" s="16">
        <f>IFERROR(AVERAGEIFS($D$5:$D$169,$A$5:$A$169,"Nestle India",$B$5:$B$169,"FY2024",$C$5:$C$169,"Net Profit Margin (%)"),"n/a")</f>
        <v>0.16122817086168731</v>
      </c>
    </row>
    <row r="199" spans="1:4" x14ac:dyDescent="0.3">
      <c r="A199" s="11" t="s">
        <v>7</v>
      </c>
      <c r="B199" s="16">
        <f>IFERROR(AVERAGEIFS($D$5:$D$169,$A$5:$A$169,"Hindustan Unilever",$B$5:$B$169,"FY2025",$C$5:$C$169,"Net Profit Margin (%)"),"n/a")</f>
        <v>0.17364009913905556</v>
      </c>
      <c r="C199" s="16">
        <f>IFERROR(AVERAGEIFS($D$5:$D$169,$A$5:$A$169,"Britannia Industries",$B$5:$B$169,"FY2025",$C$5:$C$169,"Net Profit Margin (%)"),"n/a")</f>
        <v>0.1219485007245569</v>
      </c>
      <c r="D199" s="16">
        <f>IFERROR(AVERAGEIFS($D$5:$D$169,$A$5:$A$169,"Nestle India",$B$5:$B$169,"FY2025",$C$5:$C$169,"Net Profit Margin (%)"),"n/a")</f>
        <v>0.1587961587961588</v>
      </c>
    </row>
    <row r="200" spans="1:4" x14ac:dyDescent="0.3">
      <c r="A200" s="11" t="s">
        <v>8</v>
      </c>
      <c r="B200" s="16">
        <f>IFERROR(AVERAGEIFS($D$5:$D$169,$A$5:$A$169,"Hindustan Unilever",$B$5:$B$169,"FY2026",$C$5:$C$169,"Net Profit Margin (%)"),"n/a")</f>
        <v>0.23329403735186449</v>
      </c>
      <c r="C200" s="16">
        <f>IFERROR(AVERAGEIFS($D$5:$D$169,$A$5:$A$169,"Britannia Industries",$B$5:$B$169,"FY2026",$C$5:$C$169,"Net Profit Margin (%)"),"n/a")</f>
        <v>0.13653805158814752</v>
      </c>
      <c r="D200" s="16">
        <f>IFERROR(AVERAGEIFS($D$5:$D$169,$A$5:$A$169,"Nestle India",$B$5:$B$169,"FY2026",$C$5:$C$169,"Net Profit Margin (%)"),"n/a")</f>
        <v>0.15111207082703521</v>
      </c>
    </row>
    <row r="203" spans="1:4" s="14" customFormat="1" x14ac:dyDescent="0.3">
      <c r="A203" s="39" t="s">
        <v>117</v>
      </c>
      <c r="B203" s="40"/>
      <c r="C203" s="40"/>
      <c r="D203" s="40"/>
    </row>
    <row r="204" spans="1:4" x14ac:dyDescent="0.3">
      <c r="A204" s="9"/>
      <c r="B204" s="10" t="s">
        <v>95</v>
      </c>
      <c r="C204" s="10" t="s">
        <v>96</v>
      </c>
      <c r="D204" s="10" t="s">
        <v>97</v>
      </c>
    </row>
    <row r="205" spans="1:4" x14ac:dyDescent="0.3">
      <c r="A205" s="11" t="s">
        <v>4</v>
      </c>
      <c r="B205" s="16">
        <f>IFERROR(AVERAGEIFS($D$5:$D$169,$A$5:$A$169,"Hindustan Unilever",$B$5:$B$169,"FY2022",$C$5:$C$169,"Return on Equity - ROE (%)"),"n/a")</f>
        <v>0.18088292215861634</v>
      </c>
      <c r="C205" s="16">
        <f>IFERROR(AVERAGEIFS($D$5:$D$169,$A$5:$A$169,"Britannia Industries",$B$5:$B$169,"FY2022",$C$5:$C$169,"Return on Equity - ROE (%)"),"n/a")</f>
        <v>0.59265050820953868</v>
      </c>
      <c r="D205" s="16">
        <f>IFERROR(AVERAGEIFS($D$5:$D$169,$A$5:$A$169,"Nestle India",$B$5:$B$169,"FY2022",$C$5:$C$169,"Return on Equity - ROE (%)"),"n/a")</f>
        <v>1.0883864337101747</v>
      </c>
    </row>
    <row r="206" spans="1:4" x14ac:dyDescent="0.3">
      <c r="A206" s="11" t="s">
        <v>5</v>
      </c>
      <c r="B206" s="16">
        <f>IFERROR(AVERAGEIFS($D$5:$D$169,$A$5:$A$169,"Hindustan Unilever",$B$5:$B$169,"FY2023",$C$5:$C$169,"Return on Equity - ROE (%)"),"n/a")</f>
        <v>0.20030877637464867</v>
      </c>
      <c r="C206" s="16">
        <f>IFERROR(AVERAGEIFS($D$5:$D$169,$A$5:$A$169,"Britannia Industries",$B$5:$B$169,"FY2023",$C$5:$C$169,"Return on Equity - ROE (%)"),"n/a")</f>
        <v>0.65365025466893034</v>
      </c>
      <c r="D206" s="16">
        <f>IFERROR(AVERAGEIFS($D$5:$D$169,$A$5:$A$169,"Nestle India",$B$5:$B$169,"FY2023",$C$5:$C$169,"Return on Equity - ROE (%)"),"n/a")</f>
        <v>0.97234648230988208</v>
      </c>
    </row>
    <row r="207" spans="1:4" x14ac:dyDescent="0.3">
      <c r="A207" s="11" t="s">
        <v>6</v>
      </c>
      <c r="B207" s="16">
        <f>IFERROR(AVERAGEIFS($D$5:$D$169,$A$5:$A$169,"Hindustan Unilever",$B$5:$B$169,"FY2024",$C$5:$C$169,"Return on Equity - ROE (%)"),"n/a")</f>
        <v>0.19985220621122843</v>
      </c>
      <c r="C207" s="16">
        <f>IFERROR(AVERAGEIFS($D$5:$D$169,$A$5:$A$169,"Britannia Industries",$B$5:$B$169,"FY2024",$C$5:$C$169,"Return on Equity - ROE (%)"),"n/a")</f>
        <v>0.54211060375443942</v>
      </c>
      <c r="D207" s="16">
        <f>IFERROR(AVERAGEIFS($D$5:$D$169,$A$5:$A$169,"Nestle India",$B$5:$B$169,"FY2024",$C$5:$C$169,"Return on Equity - ROE (%)"),"n/a")</f>
        <v>1.1771924573480994</v>
      </c>
    </row>
    <row r="208" spans="1:4" x14ac:dyDescent="0.3">
      <c r="A208" s="11" t="s">
        <v>7</v>
      </c>
      <c r="B208" s="16">
        <f>IFERROR(AVERAGEIFS($D$5:$D$169,$A$5:$A$169,"Hindustan Unilever",$B$5:$B$169,"FY2025",$C$5:$C$169,"Return on Equity - ROE (%)"),"n/a")</f>
        <v>0.21465863049043521</v>
      </c>
      <c r="C208" s="16">
        <f>IFERROR(AVERAGEIFS($D$5:$D$169,$A$5:$A$169,"Britannia Industries",$B$5:$B$169,"FY2025",$C$5:$C$169,"Return on Equity - ROE (%)"),"n/a")</f>
        <v>0.50229568411386594</v>
      </c>
      <c r="D208" s="16">
        <f>IFERROR(AVERAGEIFS($D$5:$D$169,$A$5:$A$169,"Nestle India",$B$5:$B$169,"FY2025",$C$5:$C$169,"Return on Equity - ROE (%)"),"n/a")</f>
        <v>0.8</v>
      </c>
    </row>
    <row r="209" spans="1:4" x14ac:dyDescent="0.3">
      <c r="A209" s="11" t="s">
        <v>8</v>
      </c>
      <c r="B209" s="16">
        <f>IFERROR(AVERAGEIFS($D$5:$D$169,$A$5:$A$169,"Hindustan Unilever",$B$5:$B$169,"FY2026",$C$5:$C$169,"Return on Equity - ROE (%)"),"n/a")</f>
        <v>0.30688867123734903</v>
      </c>
      <c r="C209" s="16">
        <f>IFERROR(AVERAGEIFS($D$5:$D$169,$A$5:$A$169,"Britannia Industries",$B$5:$B$169,"FY2026",$C$5:$C$169,"Return on Equity - ROE (%)"),"n/a")</f>
        <v>0.50166438222048171</v>
      </c>
      <c r="D209" s="16">
        <f>IFERROR(AVERAGEIFS($D$5:$D$169,$A$5:$A$169,"Nestle India",$B$5:$B$169,"FY2026",$C$5:$C$169,"Return on Equity - ROE (%)"),"n/a")</f>
        <v>0.67849524917587745</v>
      </c>
    </row>
    <row r="212" spans="1:4" s="14" customFormat="1" x14ac:dyDescent="0.3">
      <c r="A212" s="39" t="s">
        <v>118</v>
      </c>
      <c r="B212" s="40"/>
      <c r="C212" s="40"/>
      <c r="D212" s="40"/>
    </row>
    <row r="213" spans="1:4" x14ac:dyDescent="0.3">
      <c r="A213" s="9"/>
      <c r="B213" s="10" t="s">
        <v>95</v>
      </c>
      <c r="C213" s="10" t="s">
        <v>96</v>
      </c>
      <c r="D213" s="10" t="s">
        <v>97</v>
      </c>
    </row>
    <row r="214" spans="1:4" x14ac:dyDescent="0.3">
      <c r="A214" s="11" t="s">
        <v>4</v>
      </c>
      <c r="B214" s="16">
        <f>IFERROR(AVERAGEIFS($D$5:$D$169,$A$5:$A$169,"Hindustan Unilever",$B$5:$B$169,"FY2022",$C$5:$C$169,"EBITDA Margin (%)"),"n/a")</f>
        <v>0.23649086679632383</v>
      </c>
      <c r="C214" s="16">
        <f>IFERROR(AVERAGEIFS($D$5:$D$169,$A$5:$A$169,"Hindustan Unilever",$B$5:$B$169,"FY2022",$C$5:$C$169,"EBITDA Margin (%)"),"n/a")</f>
        <v>0.23649086679632383</v>
      </c>
      <c r="D214" s="16">
        <f>IFERROR(AVERAGEIFS($D$5:$D$169,$A$5:$A$169,"Hindustan Unilever",$B$5:$B$169,"FY2022",$C$5:$C$169,"EBITDA Margin (%)"),"n/a")</f>
        <v>0.23649086679632383</v>
      </c>
    </row>
    <row r="215" spans="1:4" x14ac:dyDescent="0.3">
      <c r="A215" s="11" t="s">
        <v>5</v>
      </c>
      <c r="B215" s="16">
        <f>IFERROR(AVERAGEIFS($D$5:$D$169,$A$5:$A$169,"Hindustan Unilever",$B$5:$B$169,"FY2023",$C$5:$C$169,"EBITDA Margin (%)"),"n/a")</f>
        <v>0.22585011554968637</v>
      </c>
      <c r="C215" s="16">
        <f>IFERROR(AVERAGEIFS($D$5:$D$169,$A$5:$A$169,"Britannia Industries",$B$5:$B$169,"FY2023",$C$5:$C$169,"EBITDA Margin (%)"),"n/a")</f>
        <v>0.18680981595092025</v>
      </c>
      <c r="D215" s="16">
        <f>IFERROR(AVERAGEIFS($D$5:$D$169,$A$5:$A$169,"Nestle India",$B$5:$B$169,"FY2023",$C$5:$C$169,"EBITDA Margin (%)"),"n/a")</f>
        <v>0.22566136000473458</v>
      </c>
    </row>
    <row r="216" spans="1:4" x14ac:dyDescent="0.3">
      <c r="A216" s="11" t="s">
        <v>6</v>
      </c>
      <c r="B216" s="16">
        <f>IFERROR(AVERAGEIFS($D$5:$D$169,$A$5:$A$169,"Hindustan Unilever",$B$5:$B$169,"FY2024",$C$5:$C$169,"EBITDA Margin (%)"),"n/a")</f>
        <v>0.22875468527853174</v>
      </c>
      <c r="C216" s="16">
        <f>IFERROR(AVERAGEIFS($D$5:$D$169,$A$5:$A$169,"Britannia Industries",$B$5:$B$169,"FY2024",$C$5:$C$169,"EBITDA Margin (%)"),"n/a")</f>
        <v>0.2017413083666289</v>
      </c>
      <c r="D216" s="16">
        <f>IFERROR(AVERAGEIFS($D$5:$D$169,$A$5:$A$169,"Nestle India",$B$5:$B$169,"FY2024",$C$5:$C$169,"EBITDA Margin (%)"),"n/a")</f>
        <v>0.24604410920718209</v>
      </c>
    </row>
    <row r="217" spans="1:4" x14ac:dyDescent="0.3">
      <c r="A217" s="11" t="s">
        <v>7</v>
      </c>
      <c r="B217" s="16">
        <f>IFERROR(AVERAGEIFS($D$5:$D$169,$A$5:$A$169,"Hindustan Unilever",$B$5:$B$169,"FY2025",$C$5:$C$169,"EBITDA Margin (%)"),"n/a")</f>
        <v>0.23209626924080354</v>
      </c>
      <c r="C217" s="16">
        <f>IFERROR(AVERAGEIFS($D$5:$D$169,$A$5:$A$169,"Britannia Industries",$B$5:$B$169,"FY2025",$C$5:$C$169,"EBITDA Margin (%)"),"n/a")</f>
        <v>0.19027979043584883</v>
      </c>
      <c r="D217" s="16">
        <f>IFERROR(AVERAGEIFS($D$5:$D$169,$A$5:$A$169,"Nestle India",$B$5:$B$169,"FY2025",$C$5:$C$169,"EBITDA Margin (%)"),"n/a")</f>
        <v>0.24710424710424711</v>
      </c>
    </row>
    <row r="218" spans="1:4" x14ac:dyDescent="0.3">
      <c r="A218" s="11" t="s">
        <v>8</v>
      </c>
      <c r="B218" s="16">
        <f>IFERROR(AVERAGEIFS($D$5:$D$169,$A$5:$A$169,"Hindustan Unilever",$B$5:$B$169,"FY2026",$C$5:$C$169,"EBITDA Margin (%)"),"n/a")</f>
        <v>0.22575541353849973</v>
      </c>
      <c r="C218" s="16">
        <f>IFERROR(AVERAGEIFS($D$5:$D$169,$A$5:$A$169,"Britannia Industries",$B$5:$B$169,"FY2026",$C$5:$C$169,"EBITDA Margin (%)"),"n/a")</f>
        <v>0.19766574291195907</v>
      </c>
      <c r="D218" s="16">
        <f>IFERROR(AVERAGEIFS($D$5:$D$169,$A$5:$A$169,"Nestle India",$B$5:$B$169,"FY2026",$C$5:$C$169,"EBITDA Margin (%)"),"n/a")</f>
        <v>0.23411790110127403</v>
      </c>
    </row>
  </sheetData>
  <mergeCells count="6">
    <mergeCell ref="A3:D3"/>
    <mergeCell ref="A212:D212"/>
    <mergeCell ref="A172:D172"/>
    <mergeCell ref="A194:D194"/>
    <mergeCell ref="A185:D185"/>
    <mergeCell ref="A203:D20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B2"/>
  <sheetViews>
    <sheetView showGridLines="0" zoomScale="46" zoomScaleNormal="100" workbookViewId="0">
      <selection activeCell="N33" sqref="N33"/>
    </sheetView>
  </sheetViews>
  <sheetFormatPr defaultColWidth="8.6640625" defaultRowHeight="14.4" x14ac:dyDescent="0.3"/>
  <cols>
    <col min="1" max="1" width="2" customWidth="1"/>
  </cols>
  <sheetData>
    <row r="1" spans="2:2" ht="16.8" customHeight="1" x14ac:dyDescent="0.3">
      <c r="B1" s="8" t="s">
        <v>119</v>
      </c>
    </row>
    <row r="2" spans="2:2" x14ac:dyDescent="0.3">
      <c r="B2" s="1" t="s">
        <v>120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5"/>
  <sheetViews>
    <sheetView workbookViewId="0">
      <selection sqref="A1:F1"/>
    </sheetView>
  </sheetViews>
  <sheetFormatPr defaultRowHeight="14.4" x14ac:dyDescent="0.3"/>
  <cols>
    <col min="1" max="1" width="16.77734375" bestFit="1" customWidth="1"/>
    <col min="2" max="6" width="13.44140625" bestFit="1" customWidth="1"/>
    <col min="7" max="7" width="21.44140625" bestFit="1" customWidth="1"/>
    <col min="8" max="11" width="20" bestFit="1" customWidth="1"/>
    <col min="12" max="12" width="22.109375" bestFit="1" customWidth="1"/>
    <col min="13" max="16" width="20.6640625" bestFit="1" customWidth="1"/>
    <col min="17" max="17" width="21.44140625" bestFit="1" customWidth="1"/>
    <col min="18" max="21" width="20" bestFit="1" customWidth="1"/>
    <col min="22" max="22" width="14.77734375" bestFit="1" customWidth="1"/>
    <col min="23" max="26" width="13.44140625" bestFit="1" customWidth="1"/>
    <col min="27" max="27" width="20.33203125" bestFit="1" customWidth="1"/>
    <col min="28" max="31" width="19" bestFit="1" customWidth="1"/>
    <col min="32" max="32" width="20.33203125" bestFit="1" customWidth="1"/>
    <col min="33" max="36" width="19" bestFit="1" customWidth="1"/>
    <col min="37" max="37" width="21.44140625" bestFit="1" customWidth="1"/>
    <col min="38" max="41" width="20" bestFit="1" customWidth="1"/>
    <col min="42" max="42" width="14.77734375" bestFit="1" customWidth="1"/>
    <col min="43" max="46" width="13.44140625" bestFit="1" customWidth="1"/>
    <col min="47" max="47" width="20.33203125" bestFit="1" customWidth="1"/>
    <col min="48" max="51" width="19" bestFit="1" customWidth="1"/>
    <col min="52" max="52" width="21" bestFit="1" customWidth="1"/>
    <col min="53" max="56" width="19.6640625" bestFit="1" customWidth="1"/>
    <col min="57" max="57" width="21.44140625" bestFit="1" customWidth="1"/>
    <col min="58" max="61" width="20" bestFit="1" customWidth="1"/>
    <col min="62" max="62" width="18.33203125" bestFit="1" customWidth="1"/>
    <col min="63" max="66" width="16.88671875" bestFit="1" customWidth="1"/>
    <col min="67" max="67" width="19.5546875" bestFit="1" customWidth="1"/>
    <col min="68" max="71" width="18.21875" bestFit="1" customWidth="1"/>
  </cols>
  <sheetData>
    <row r="1" spans="1:6" ht="23.4" x14ac:dyDescent="0.45">
      <c r="A1" s="43" t="s">
        <v>177</v>
      </c>
      <c r="B1" s="43"/>
      <c r="C1" s="43"/>
      <c r="D1" s="43"/>
      <c r="E1" s="43"/>
      <c r="F1" s="43"/>
    </row>
    <row r="3" spans="1:6" x14ac:dyDescent="0.3">
      <c r="A3" s="20" t="s">
        <v>121</v>
      </c>
      <c r="B3" t="s">
        <v>122</v>
      </c>
    </row>
    <row r="4" spans="1:6" x14ac:dyDescent="0.3">
      <c r="A4" s="21" t="s">
        <v>96</v>
      </c>
      <c r="B4" s="22">
        <v>4.581429049158392E-2</v>
      </c>
      <c r="D4" s="33"/>
    </row>
    <row r="5" spans="1:6" x14ac:dyDescent="0.3">
      <c r="A5" s="21" t="s">
        <v>95</v>
      </c>
      <c r="B5" s="22">
        <v>5.1200104356900589E-2</v>
      </c>
    </row>
    <row r="6" spans="1:6" x14ac:dyDescent="0.3">
      <c r="A6" s="21" t="s">
        <v>97</v>
      </c>
      <c r="B6" s="22">
        <v>0.14617364617364631</v>
      </c>
    </row>
    <row r="7" spans="1:6" x14ac:dyDescent="0.3">
      <c r="A7" s="21" t="s">
        <v>123</v>
      </c>
      <c r="B7" s="22">
        <v>0.24318804102213079</v>
      </c>
    </row>
    <row r="10" spans="1:6" x14ac:dyDescent="0.3">
      <c r="B10" s="20" t="s">
        <v>178</v>
      </c>
    </row>
    <row r="11" spans="1:6" x14ac:dyDescent="0.3">
      <c r="A11" s="20" t="s">
        <v>121</v>
      </c>
      <c r="B11" t="s">
        <v>124</v>
      </c>
      <c r="C11" t="s">
        <v>125</v>
      </c>
      <c r="D11" t="s">
        <v>126</v>
      </c>
      <c r="E11" t="s">
        <v>127</v>
      </c>
      <c r="F11" t="s">
        <v>122</v>
      </c>
    </row>
    <row r="12" spans="1:6" x14ac:dyDescent="0.3">
      <c r="A12" s="21" t="s">
        <v>96</v>
      </c>
      <c r="B12">
        <v>0.10724391624221841</v>
      </c>
      <c r="C12" s="22">
        <v>0.1417177914110429</v>
      </c>
      <c r="D12" s="22">
        <v>0.12743753354403961</v>
      </c>
      <c r="E12" s="22">
        <v>0.1219485007245569</v>
      </c>
      <c r="F12" s="22">
        <v>0.1365380515881475</v>
      </c>
    </row>
    <row r="13" spans="1:6" x14ac:dyDescent="0.3">
      <c r="A13" s="21" t="s">
        <v>95</v>
      </c>
      <c r="B13">
        <v>0.16929794455249211</v>
      </c>
      <c r="C13" s="22">
        <v>0.16705183228788381</v>
      </c>
      <c r="D13" s="22">
        <v>0.16603657748481321</v>
      </c>
      <c r="E13" s="22">
        <v>0.17364009913905559</v>
      </c>
      <c r="F13" s="22">
        <v>0.23329403735186449</v>
      </c>
    </row>
    <row r="14" spans="1:6" x14ac:dyDescent="0.3">
      <c r="A14" s="21" t="s">
        <v>97</v>
      </c>
      <c r="B14">
        <v>0.14368089003459741</v>
      </c>
      <c r="C14" s="22">
        <v>0.1415044090666982</v>
      </c>
      <c r="D14" s="22">
        <v>0.16122817086168731</v>
      </c>
      <c r="E14" s="22">
        <v>0.1587961587961588</v>
      </c>
      <c r="F14" s="22">
        <v>0.15111207082703521</v>
      </c>
    </row>
    <row r="15" spans="1:6" x14ac:dyDescent="0.3">
      <c r="A15" s="21" t="s">
        <v>123</v>
      </c>
      <c r="B15">
        <v>0.42022275082930793</v>
      </c>
      <c r="C15" s="22">
        <v>0.45027403276562489</v>
      </c>
      <c r="D15" s="22">
        <v>0.45470228189054007</v>
      </c>
      <c r="E15" s="22">
        <v>0.45438475865977135</v>
      </c>
      <c r="F15" s="22">
        <v>0.52094415976704722</v>
      </c>
    </row>
    <row r="17" spans="1:6" x14ac:dyDescent="0.3">
      <c r="A17" s="20" t="s">
        <v>121</v>
      </c>
      <c r="B17" t="s">
        <v>124</v>
      </c>
      <c r="C17" t="s">
        <v>125</v>
      </c>
      <c r="D17" t="s">
        <v>126</v>
      </c>
      <c r="E17" t="s">
        <v>127</v>
      </c>
      <c r="F17" t="s">
        <v>122</v>
      </c>
    </row>
    <row r="18" spans="1:6" x14ac:dyDescent="0.3">
      <c r="A18" s="21" t="s">
        <v>96</v>
      </c>
      <c r="B18" s="23">
        <v>0.10724391624221841</v>
      </c>
      <c r="C18" s="23">
        <v>0.1417177914110429</v>
      </c>
      <c r="D18" s="23">
        <v>0.12743753354403961</v>
      </c>
      <c r="E18" s="23">
        <v>0.1219485007245569</v>
      </c>
      <c r="F18" s="23">
        <v>0.1365380515881475</v>
      </c>
    </row>
    <row r="19" spans="1:6" x14ac:dyDescent="0.3">
      <c r="A19" s="21" t="s">
        <v>95</v>
      </c>
      <c r="B19" s="23">
        <v>0.16929794455249211</v>
      </c>
      <c r="C19" s="23">
        <v>0.16705183228788381</v>
      </c>
      <c r="D19" s="23">
        <v>0.16603657748481321</v>
      </c>
      <c r="E19" s="23">
        <v>0.17364009913905559</v>
      </c>
      <c r="F19" s="23">
        <v>0.23329403735186449</v>
      </c>
    </row>
    <row r="20" spans="1:6" x14ac:dyDescent="0.3">
      <c r="A20" s="21" t="s">
        <v>97</v>
      </c>
      <c r="B20" s="23">
        <v>0.14368089003459741</v>
      </c>
      <c r="C20" s="23">
        <v>0.1415044090666982</v>
      </c>
      <c r="D20" s="23">
        <v>0.16122817086168731</v>
      </c>
      <c r="E20" s="23">
        <v>0.1587961587961588</v>
      </c>
      <c r="F20" s="23">
        <v>0.15111207082703521</v>
      </c>
    </row>
    <row r="21" spans="1:6" x14ac:dyDescent="0.3">
      <c r="A21" s="21" t="s">
        <v>123</v>
      </c>
      <c r="B21" s="23">
        <v>0.42022275082930788</v>
      </c>
      <c r="C21" s="23">
        <v>0.45027403276562489</v>
      </c>
      <c r="D21" s="23">
        <v>0.45470228189054018</v>
      </c>
      <c r="E21" s="23">
        <v>0.45438475865977118</v>
      </c>
      <c r="F21" s="23">
        <v>0.52094415976704722</v>
      </c>
    </row>
    <row r="22" spans="1:6" ht="14.4" customHeight="1" x14ac:dyDescent="0.3"/>
    <row r="24" spans="1:6" x14ac:dyDescent="0.3">
      <c r="A24" s="20" t="s">
        <v>121</v>
      </c>
      <c r="B24" t="s">
        <v>124</v>
      </c>
      <c r="C24" t="s">
        <v>125</v>
      </c>
      <c r="D24" t="s">
        <v>126</v>
      </c>
      <c r="E24" t="s">
        <v>127</v>
      </c>
      <c r="F24" t="s">
        <v>122</v>
      </c>
    </row>
    <row r="25" spans="1:6" x14ac:dyDescent="0.3">
      <c r="A25" s="21" t="s">
        <v>96</v>
      </c>
      <c r="B25" s="22">
        <v>0.59265050820953868</v>
      </c>
      <c r="C25" s="22">
        <v>0.65365025466893034</v>
      </c>
      <c r="D25" s="22">
        <v>0.54211060375443942</v>
      </c>
      <c r="E25" s="22">
        <v>0.50229568411386594</v>
      </c>
      <c r="F25" s="22">
        <v>0.50166438222048171</v>
      </c>
    </row>
    <row r="26" spans="1:6" x14ac:dyDescent="0.3">
      <c r="A26" s="21" t="s">
        <v>95</v>
      </c>
      <c r="B26" s="22">
        <v>0.18088292215861629</v>
      </c>
      <c r="C26" s="22">
        <v>0.20030877637464869</v>
      </c>
      <c r="D26" s="22">
        <v>0.1998522062112284</v>
      </c>
      <c r="E26" s="22">
        <v>0.21465863049043521</v>
      </c>
      <c r="F26" s="22">
        <v>0.30688867123734898</v>
      </c>
    </row>
    <row r="27" spans="1:6" x14ac:dyDescent="0.3">
      <c r="A27" s="21" t="s">
        <v>97</v>
      </c>
      <c r="B27" s="22">
        <v>1.088386433710175</v>
      </c>
      <c r="C27" s="22">
        <v>0.97234648230988208</v>
      </c>
      <c r="D27" s="22">
        <v>1.177192457348099</v>
      </c>
      <c r="E27" s="22">
        <v>0.8</v>
      </c>
      <c r="F27" s="22">
        <v>0.67849524917587745</v>
      </c>
    </row>
    <row r="28" spans="1:6" x14ac:dyDescent="0.3">
      <c r="A28" s="21" t="s">
        <v>123</v>
      </c>
      <c r="B28" s="22">
        <v>1.8619198640783301</v>
      </c>
      <c r="C28" s="22">
        <v>1.8263055133534609</v>
      </c>
      <c r="D28" s="22">
        <v>1.9191552673137671</v>
      </c>
      <c r="E28" s="22">
        <v>1.516954314604301</v>
      </c>
      <c r="F28" s="22">
        <v>1.487048302633708</v>
      </c>
    </row>
    <row r="31" spans="1:6" x14ac:dyDescent="0.3">
      <c r="A31" s="20" t="s">
        <v>121</v>
      </c>
      <c r="B31" t="s">
        <v>124</v>
      </c>
      <c r="C31" t="s">
        <v>125</v>
      </c>
      <c r="D31" t="s">
        <v>126</v>
      </c>
      <c r="E31" t="s">
        <v>127</v>
      </c>
      <c r="F31" t="s">
        <v>122</v>
      </c>
    </row>
    <row r="32" spans="1:6" x14ac:dyDescent="0.3">
      <c r="A32" s="21" t="s">
        <v>96</v>
      </c>
      <c r="B32" s="24">
        <v>0.96403440187646594</v>
      </c>
      <c r="C32" s="24">
        <v>0.84352009054895305</v>
      </c>
      <c r="D32" s="24">
        <v>0.51775748351090822</v>
      </c>
      <c r="E32" s="24">
        <v>0.2812213039485767</v>
      </c>
      <c r="F32" s="24">
        <v>0.26590953593107503</v>
      </c>
    </row>
    <row r="33" spans="1:6" x14ac:dyDescent="0.3">
      <c r="A33" s="21" t="s">
        <v>95</v>
      </c>
      <c r="B33" s="24">
        <v>1.5706806282722509E-2</v>
      </c>
      <c r="C33" s="24">
        <v>1.6784767032184001E-2</v>
      </c>
      <c r="D33" s="24">
        <v>2.2246854520350811E-2</v>
      </c>
      <c r="E33" s="24">
        <v>2.5882400370900439E-2</v>
      </c>
      <c r="F33" s="24">
        <v>2.3281913157035591E-2</v>
      </c>
    </row>
    <row r="34" spans="1:6" x14ac:dyDescent="0.3">
      <c r="A34" s="21" t="s">
        <v>97</v>
      </c>
      <c r="B34" s="24">
        <v>0.1366906474820144</v>
      </c>
      <c r="C34" s="24">
        <v>0.1102074013826759</v>
      </c>
      <c r="D34" s="24">
        <v>0.1032624962586052</v>
      </c>
      <c r="E34" s="24">
        <v>0.29102244389027432</v>
      </c>
      <c r="F34" s="24">
        <v>8.6096567771960439E-2</v>
      </c>
    </row>
    <row r="35" spans="1:6" x14ac:dyDescent="0.3">
      <c r="A35" s="21" t="s">
        <v>123</v>
      </c>
      <c r="B35">
        <v>1.116431855641203</v>
      </c>
      <c r="C35">
        <v>0.97051225896381299</v>
      </c>
      <c r="D35">
        <v>0.6432668342898642</v>
      </c>
      <c r="E35">
        <v>0.59812614820975152</v>
      </c>
      <c r="F35">
        <v>0.37528801686007102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"/>
  <sheetViews>
    <sheetView showGridLines="0" tabSelected="1" zoomScale="62" workbookViewId="0">
      <selection sqref="A1:W1"/>
    </sheetView>
  </sheetViews>
  <sheetFormatPr defaultRowHeight="14.4" x14ac:dyDescent="0.3"/>
  <cols>
    <col min="1" max="1" width="8.88671875" style="19" customWidth="1"/>
    <col min="2" max="16384" width="8.88671875" style="19"/>
  </cols>
  <sheetData>
    <row r="1" spans="1:23" ht="46.2" customHeight="1" x14ac:dyDescent="0.85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</row>
  </sheetData>
  <mergeCells count="1">
    <mergeCell ref="A1:W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2"/>
  <sheetViews>
    <sheetView topLeftCell="A39" workbookViewId="0">
      <selection sqref="A1:I1"/>
    </sheetView>
  </sheetViews>
  <sheetFormatPr defaultRowHeight="14.4" x14ac:dyDescent="0.3"/>
  <cols>
    <col min="1" max="1" width="24" customWidth="1"/>
    <col min="2" max="2" width="28" customWidth="1"/>
    <col min="3" max="4" width="15" customWidth="1"/>
    <col min="5" max="5" width="18" customWidth="1"/>
    <col min="6" max="6" width="14" customWidth="1"/>
    <col min="7" max="7" width="18" customWidth="1"/>
    <col min="8" max="8" width="14" customWidth="1"/>
    <col min="9" max="9" width="48" customWidth="1"/>
  </cols>
  <sheetData>
    <row r="1" spans="1:9" ht="21" x14ac:dyDescent="0.4">
      <c r="A1" s="44" t="s">
        <v>128</v>
      </c>
      <c r="B1" s="44"/>
      <c r="C1" s="44"/>
      <c r="D1" s="44"/>
      <c r="E1" s="44"/>
      <c r="F1" s="44"/>
      <c r="G1" s="44"/>
      <c r="H1" s="44"/>
      <c r="I1" s="44"/>
    </row>
    <row r="2" spans="1:9" ht="34.950000000000003" customHeight="1" x14ac:dyDescent="0.3">
      <c r="A2" s="46" t="s">
        <v>129</v>
      </c>
      <c r="B2" s="37"/>
      <c r="C2" s="37"/>
      <c r="D2" s="37"/>
      <c r="E2" s="37"/>
      <c r="F2" s="37"/>
      <c r="G2" s="37"/>
      <c r="H2" s="37"/>
      <c r="I2" s="37"/>
    </row>
    <row r="4" spans="1:9" x14ac:dyDescent="0.3">
      <c r="A4" s="45" t="s">
        <v>130</v>
      </c>
      <c r="B4" s="37"/>
      <c r="C4" s="37"/>
      <c r="D4" s="37"/>
      <c r="E4" s="37"/>
      <c r="F4" s="37"/>
      <c r="G4" s="37"/>
      <c r="H4" s="37"/>
      <c r="I4" s="37"/>
    </row>
    <row r="5" spans="1:9" x14ac:dyDescent="0.3">
      <c r="A5" s="25" t="s">
        <v>94</v>
      </c>
      <c r="B5" s="25" t="s">
        <v>131</v>
      </c>
      <c r="C5" s="25" t="s">
        <v>132</v>
      </c>
      <c r="D5" s="25" t="s">
        <v>133</v>
      </c>
      <c r="E5" s="25" t="s">
        <v>134</v>
      </c>
    </row>
    <row r="6" spans="1:9" x14ac:dyDescent="0.3">
      <c r="A6" s="26" t="s">
        <v>95</v>
      </c>
      <c r="B6" s="27">
        <f>COUNTIFS($A$11:$A$40,A6,$H$11:$H$40,"RED FLAG")</f>
        <v>0</v>
      </c>
      <c r="C6" s="27">
        <f>COUNTIFS($A$11:$A$40,A6,$H$11:$H$40,"WATCH")</f>
        <v>3</v>
      </c>
      <c r="D6" s="27">
        <f>COUNTIFS($A$11:$A$40,A6,$H$11:$H$40,"CLEAR")</f>
        <v>7</v>
      </c>
      <c r="E6" s="27" t="str">
        <f>IF(B6&gt;0,"INVESTIGATE",IF(C6&gt;0,"MONITOR","NO FLAG"))</f>
        <v>MONITOR</v>
      </c>
    </row>
    <row r="7" spans="1:9" x14ac:dyDescent="0.3">
      <c r="A7" s="26" t="s">
        <v>96</v>
      </c>
      <c r="B7" s="27">
        <f>COUNTIFS($A$11:$A$40,A7,$H$11:$H$40,"RED FLAG")</f>
        <v>0</v>
      </c>
      <c r="C7" s="27">
        <f>COUNTIFS($A$11:$A$40,A7,$H$11:$H$40,"WATCH")</f>
        <v>2</v>
      </c>
      <c r="D7" s="27">
        <f>COUNTIFS($A$11:$A$40,A7,$H$11:$H$40,"CLEAR")</f>
        <v>8</v>
      </c>
      <c r="E7" s="27" t="str">
        <f>IF(B7&gt;0,"INVESTIGATE",IF(C7&gt;0,"MONITOR","NO FLAG"))</f>
        <v>MONITOR</v>
      </c>
    </row>
    <row r="8" spans="1:9" x14ac:dyDescent="0.3">
      <c r="A8" s="26" t="s">
        <v>97</v>
      </c>
      <c r="B8" s="27">
        <f>COUNTIFS($A$11:$A$40,A8,$H$11:$H$40,"RED FLAG")</f>
        <v>0</v>
      </c>
      <c r="C8" s="27">
        <f>COUNTIFS($A$11:$A$40,A8,$H$11:$H$40,"WATCH")</f>
        <v>4</v>
      </c>
      <c r="D8" s="27">
        <f>COUNTIFS($A$11:$A$40,A8,$H$11:$H$40,"CLEAR")</f>
        <v>6</v>
      </c>
      <c r="E8" s="27" t="str">
        <f>IF(B8&gt;0,"INVESTIGATE",IF(C8&gt;0,"MONITOR","NO FLAG"))</f>
        <v>MONITOR</v>
      </c>
    </row>
    <row r="10" spans="1:9" x14ac:dyDescent="0.3">
      <c r="A10" s="28" t="s">
        <v>94</v>
      </c>
      <c r="B10" s="28" t="s">
        <v>135</v>
      </c>
      <c r="C10" s="28" t="s">
        <v>136</v>
      </c>
      <c r="D10" s="28" t="s">
        <v>137</v>
      </c>
      <c r="E10" s="28" t="s">
        <v>138</v>
      </c>
      <c r="F10" s="28" t="s">
        <v>139</v>
      </c>
      <c r="G10" s="28" t="s">
        <v>140</v>
      </c>
      <c r="H10" s="28" t="s">
        <v>141</v>
      </c>
      <c r="I10" s="28" t="s">
        <v>142</v>
      </c>
    </row>
    <row r="11" spans="1:9" x14ac:dyDescent="0.3">
      <c r="A11" s="29" t="s">
        <v>95</v>
      </c>
      <c r="B11" s="29" t="s">
        <v>143</v>
      </c>
      <c r="C11" s="30">
        <f>'Ratio Comparison'!F11</f>
        <v>5.1200104356900589E-2</v>
      </c>
      <c r="D11" s="30">
        <f>'Ratio Comparison'!E11</f>
        <v>-9.1766834690448773E-3</v>
      </c>
      <c r="E11" s="30">
        <f>C11</f>
        <v>5.1200104356900589E-2</v>
      </c>
      <c r="F11" s="30">
        <v>0</v>
      </c>
      <c r="G11" s="29" t="s">
        <v>144</v>
      </c>
      <c r="H11" s="29" t="str">
        <f>IF(C11&lt;0,"RED FLAG","CLEAR")</f>
        <v>CLEAR</v>
      </c>
      <c r="I11" s="29" t="s">
        <v>145</v>
      </c>
    </row>
    <row r="12" spans="1:9" x14ac:dyDescent="0.3">
      <c r="A12" s="29" t="s">
        <v>96</v>
      </c>
      <c r="B12" s="29" t="s">
        <v>143</v>
      </c>
      <c r="C12" s="30">
        <f>'Ratio Comparison'!F12</f>
        <v>4.581429049158392E-2</v>
      </c>
      <c r="D12" s="30">
        <f>'Ratio Comparison'!E12</f>
        <v>6.9950503906017092E-2</v>
      </c>
      <c r="E12" s="30">
        <f>C12</f>
        <v>4.581429049158392E-2</v>
      </c>
      <c r="F12" s="30">
        <v>0</v>
      </c>
      <c r="G12" s="29" t="s">
        <v>144</v>
      </c>
      <c r="H12" s="29" t="str">
        <f>IF(C12&lt;0,"RED FLAG","CLEAR")</f>
        <v>CLEAR</v>
      </c>
      <c r="I12" s="29" t="s">
        <v>145</v>
      </c>
    </row>
    <row r="13" spans="1:9" x14ac:dyDescent="0.3">
      <c r="A13" s="29" t="s">
        <v>97</v>
      </c>
      <c r="B13" s="29" t="s">
        <v>143</v>
      </c>
      <c r="C13" s="30">
        <f>'Ratio Comparison'!F13</f>
        <v>0.14617364617364625</v>
      </c>
      <c r="D13" s="30">
        <f>'Ratio Comparison'!E13</f>
        <v>-0.17184553578748873</v>
      </c>
      <c r="E13" s="30">
        <f>C13</f>
        <v>0.14617364617364625</v>
      </c>
      <c r="F13" s="30">
        <v>0</v>
      </c>
      <c r="G13" s="29" t="s">
        <v>144</v>
      </c>
      <c r="H13" s="29" t="str">
        <f>IF(C13&lt;0,"RED FLAG","CLEAR")</f>
        <v>CLEAR</v>
      </c>
      <c r="I13" s="29" t="s">
        <v>145</v>
      </c>
    </row>
    <row r="14" spans="1:9" x14ac:dyDescent="0.3">
      <c r="A14" s="29" t="s">
        <v>95</v>
      </c>
      <c r="B14" s="29" t="s">
        <v>146</v>
      </c>
      <c r="C14" s="30">
        <f>'Ratio Comparison'!F17</f>
        <v>0.22575541353849973</v>
      </c>
      <c r="D14" s="30">
        <f>'Ratio Comparison'!E17</f>
        <v>0.23209626924080354</v>
      </c>
      <c r="E14" s="30">
        <f t="shared" ref="E14:E22" si="0">C14-D14</f>
        <v>-6.3408557023038048E-3</v>
      </c>
      <c r="F14" s="30">
        <v>0.02</v>
      </c>
      <c r="G14" s="29" t="s">
        <v>147</v>
      </c>
      <c r="H14" s="29" t="str">
        <f t="shared" ref="H14:H22" si="1">IF(E14&lt;-F14,"RED FLAG",IF(E14&lt;0,"WATCH","CLEAR"))</f>
        <v>WATCH</v>
      </c>
      <c r="I14" s="29" t="s">
        <v>148</v>
      </c>
    </row>
    <row r="15" spans="1:9" x14ac:dyDescent="0.3">
      <c r="A15" s="29" t="s">
        <v>96</v>
      </c>
      <c r="B15" s="29" t="s">
        <v>146</v>
      </c>
      <c r="C15" s="30">
        <f>'Ratio Comparison'!F18</f>
        <v>0.19766574291195907</v>
      </c>
      <c r="D15" s="30">
        <f>'Ratio Comparison'!E18</f>
        <v>0.19027979043584883</v>
      </c>
      <c r="E15" s="30">
        <f t="shared" si="0"/>
        <v>7.3859524761102358E-3</v>
      </c>
      <c r="F15" s="30">
        <v>0.02</v>
      </c>
      <c r="G15" s="29" t="s">
        <v>147</v>
      </c>
      <c r="H15" s="29" t="str">
        <f t="shared" si="1"/>
        <v>CLEAR</v>
      </c>
      <c r="I15" s="29" t="s">
        <v>148</v>
      </c>
    </row>
    <row r="16" spans="1:9" x14ac:dyDescent="0.3">
      <c r="A16" s="29" t="s">
        <v>97</v>
      </c>
      <c r="B16" s="29" t="s">
        <v>146</v>
      </c>
      <c r="C16" s="30">
        <f>'Ratio Comparison'!F19</f>
        <v>0.23411790110127403</v>
      </c>
      <c r="D16" s="30">
        <f>'Ratio Comparison'!E19</f>
        <v>0.24710424710424711</v>
      </c>
      <c r="E16" s="30">
        <f t="shared" si="0"/>
        <v>-1.2986346002973076E-2</v>
      </c>
      <c r="F16" s="30">
        <v>0.02</v>
      </c>
      <c r="G16" s="29" t="s">
        <v>147</v>
      </c>
      <c r="H16" s="29" t="str">
        <f t="shared" si="1"/>
        <v>WATCH</v>
      </c>
      <c r="I16" s="29" t="s">
        <v>148</v>
      </c>
    </row>
    <row r="17" spans="1:9" x14ac:dyDescent="0.3">
      <c r="A17" s="29" t="s">
        <v>95</v>
      </c>
      <c r="B17" s="29" t="s">
        <v>149</v>
      </c>
      <c r="C17" s="30">
        <f>'Ratio Comparison'!F23</f>
        <v>0.21226034621827883</v>
      </c>
      <c r="D17" s="30">
        <f>'Ratio Comparison'!E23</f>
        <v>0.21880707018001566</v>
      </c>
      <c r="E17" s="30">
        <f t="shared" si="0"/>
        <v>-6.5467239617368334E-3</v>
      </c>
      <c r="F17" s="30">
        <v>0.02</v>
      </c>
      <c r="G17" s="29" t="s">
        <v>147</v>
      </c>
      <c r="H17" s="29" t="str">
        <f t="shared" si="1"/>
        <v>WATCH</v>
      </c>
      <c r="I17" s="29" t="s">
        <v>150</v>
      </c>
    </row>
    <row r="18" spans="1:9" x14ac:dyDescent="0.3">
      <c r="A18" s="29" t="s">
        <v>96</v>
      </c>
      <c r="B18" s="29" t="s">
        <v>149</v>
      </c>
      <c r="C18" s="30">
        <f>'Ratio Comparison'!F24</f>
        <v>0.17917288424642933</v>
      </c>
      <c r="D18" s="30">
        <f>'Ratio Comparison'!E24</f>
        <v>0.17283468955523354</v>
      </c>
      <c r="E18" s="30">
        <f t="shared" si="0"/>
        <v>6.3381946911957865E-3</v>
      </c>
      <c r="F18" s="30">
        <v>0.02</v>
      </c>
      <c r="G18" s="29" t="s">
        <v>147</v>
      </c>
      <c r="H18" s="29" t="str">
        <f t="shared" si="1"/>
        <v>CLEAR</v>
      </c>
      <c r="I18" s="29" t="s">
        <v>150</v>
      </c>
    </row>
    <row r="19" spans="1:9" x14ac:dyDescent="0.3">
      <c r="A19" s="29" t="s">
        <v>97</v>
      </c>
      <c r="B19" s="29" t="s">
        <v>149</v>
      </c>
      <c r="C19" s="30">
        <f>'Ratio Comparison'!F25</f>
        <v>0.1970200820557115</v>
      </c>
      <c r="D19" s="30">
        <f>'Ratio Comparison'!E25</f>
        <v>0.20824670824670824</v>
      </c>
      <c r="E19" s="30">
        <f t="shared" si="0"/>
        <v>-1.1226626190996736E-2</v>
      </c>
      <c r="F19" s="30">
        <v>0.02</v>
      </c>
      <c r="G19" s="29" t="s">
        <v>147</v>
      </c>
      <c r="H19" s="29" t="str">
        <f t="shared" si="1"/>
        <v>WATCH</v>
      </c>
      <c r="I19" s="29" t="s">
        <v>150</v>
      </c>
    </row>
    <row r="20" spans="1:9" x14ac:dyDescent="0.3">
      <c r="A20" s="29" t="s">
        <v>95</v>
      </c>
      <c r="B20" s="29" t="s">
        <v>151</v>
      </c>
      <c r="C20" s="30">
        <f>'Ratio Comparison'!F29</f>
        <v>0.23329403735186449</v>
      </c>
      <c r="D20" s="30">
        <f>'Ratio Comparison'!E29</f>
        <v>0.17364009913905556</v>
      </c>
      <c r="E20" s="30">
        <f t="shared" si="0"/>
        <v>5.9653938212808927E-2</v>
      </c>
      <c r="F20" s="30">
        <v>0.02</v>
      </c>
      <c r="G20" s="29" t="s">
        <v>147</v>
      </c>
      <c r="H20" s="29" t="str">
        <f t="shared" si="1"/>
        <v>CLEAR</v>
      </c>
      <c r="I20" s="29" t="s">
        <v>152</v>
      </c>
    </row>
    <row r="21" spans="1:9" x14ac:dyDescent="0.3">
      <c r="A21" s="29" t="s">
        <v>96</v>
      </c>
      <c r="B21" s="29" t="s">
        <v>151</v>
      </c>
      <c r="C21" s="30">
        <f>'Ratio Comparison'!F30</f>
        <v>0.13653805158814752</v>
      </c>
      <c r="D21" s="30">
        <f>'Ratio Comparison'!E30</f>
        <v>0.1219485007245569</v>
      </c>
      <c r="E21" s="30">
        <f t="shared" si="0"/>
        <v>1.4589550863590622E-2</v>
      </c>
      <c r="F21" s="30">
        <v>0.02</v>
      </c>
      <c r="G21" s="29" t="s">
        <v>147</v>
      </c>
      <c r="H21" s="29" t="str">
        <f t="shared" si="1"/>
        <v>CLEAR</v>
      </c>
      <c r="I21" s="29" t="s">
        <v>152</v>
      </c>
    </row>
    <row r="22" spans="1:9" x14ac:dyDescent="0.3">
      <c r="A22" s="29" t="s">
        <v>97</v>
      </c>
      <c r="B22" s="29" t="s">
        <v>151</v>
      </c>
      <c r="C22" s="30">
        <f>'Ratio Comparison'!F31</f>
        <v>0.15111207082703521</v>
      </c>
      <c r="D22" s="30">
        <f>'Ratio Comparison'!E31</f>
        <v>0.1587961587961588</v>
      </c>
      <c r="E22" s="30">
        <f t="shared" si="0"/>
        <v>-7.684087969123593E-3</v>
      </c>
      <c r="F22" s="30">
        <v>0.02</v>
      </c>
      <c r="G22" s="29" t="s">
        <v>147</v>
      </c>
      <c r="H22" s="29" t="str">
        <f t="shared" si="1"/>
        <v>WATCH</v>
      </c>
      <c r="I22" s="29" t="s">
        <v>152</v>
      </c>
    </row>
    <row r="23" spans="1:9" ht="28.8" x14ac:dyDescent="0.3">
      <c r="A23" s="29" t="s">
        <v>95</v>
      </c>
      <c r="B23" s="29" t="s">
        <v>153</v>
      </c>
      <c r="C23" s="30">
        <f>'Ratio Comparison'!F35</f>
        <v>0.30688867123734903</v>
      </c>
      <c r="D23" s="30">
        <f>'Ratio Comparison'!E35</f>
        <v>0.21465863049043521</v>
      </c>
      <c r="E23" s="30">
        <f>C23</f>
        <v>0.30688867123734903</v>
      </c>
      <c r="F23" s="30">
        <v>0.5</v>
      </c>
      <c r="G23" s="29" t="s">
        <v>154</v>
      </c>
      <c r="H23" s="29" t="str">
        <f>IF(C23&gt;F23,"WATCH","CLEAR")</f>
        <v>CLEAR</v>
      </c>
      <c r="I23" s="29" t="s">
        <v>155</v>
      </c>
    </row>
    <row r="24" spans="1:9" ht="28.8" x14ac:dyDescent="0.3">
      <c r="A24" s="29" t="s">
        <v>96</v>
      </c>
      <c r="B24" s="29" t="s">
        <v>153</v>
      </c>
      <c r="C24" s="30">
        <f>'Ratio Comparison'!F36</f>
        <v>0.50166438222048171</v>
      </c>
      <c r="D24" s="30">
        <f>'Ratio Comparison'!E36</f>
        <v>0.50229568411386594</v>
      </c>
      <c r="E24" s="30">
        <f>C24</f>
        <v>0.50166438222048171</v>
      </c>
      <c r="F24" s="30">
        <v>0.5</v>
      </c>
      <c r="G24" s="29" t="s">
        <v>154</v>
      </c>
      <c r="H24" s="29" t="str">
        <f>IF(C24&gt;F24,"WATCH","CLEAR")</f>
        <v>WATCH</v>
      </c>
      <c r="I24" s="29" t="s">
        <v>155</v>
      </c>
    </row>
    <row r="25" spans="1:9" ht="28.8" x14ac:dyDescent="0.3">
      <c r="A25" s="29" t="s">
        <v>97</v>
      </c>
      <c r="B25" s="29" t="s">
        <v>153</v>
      </c>
      <c r="C25" s="30">
        <f>'Ratio Comparison'!F37</f>
        <v>0.67849524917587745</v>
      </c>
      <c r="D25" s="30">
        <f>'Ratio Comparison'!E37</f>
        <v>0.8</v>
      </c>
      <c r="E25" s="30">
        <f>C25</f>
        <v>0.67849524917587745</v>
      </c>
      <c r="F25" s="30">
        <v>0.5</v>
      </c>
      <c r="G25" s="29" t="s">
        <v>154</v>
      </c>
      <c r="H25" s="29" t="str">
        <f>IF(C25&gt;F25,"WATCH","CLEAR")</f>
        <v>WATCH</v>
      </c>
      <c r="I25" s="29" t="s">
        <v>155</v>
      </c>
    </row>
    <row r="26" spans="1:9" x14ac:dyDescent="0.3">
      <c r="A26" s="29" t="s">
        <v>95</v>
      </c>
      <c r="B26" s="29" t="s">
        <v>156</v>
      </c>
      <c r="C26" s="30">
        <f>'Ratio Comparison'!F41</f>
        <v>0.18858461229812418</v>
      </c>
      <c r="D26" s="30">
        <f>'Ratio Comparison'!E41</f>
        <v>0.13331246870305458</v>
      </c>
      <c r="E26" s="30">
        <f>C26-D26</f>
        <v>5.5272143595069601E-2</v>
      </c>
      <c r="F26" s="30">
        <v>0.03</v>
      </c>
      <c r="G26" s="29" t="s">
        <v>147</v>
      </c>
      <c r="H26" s="29" t="str">
        <f>IF(E26&lt;-F26,"RED FLAG",IF(E26&lt;0,"WATCH","CLEAR"))</f>
        <v>CLEAR</v>
      </c>
      <c r="I26" s="29" t="s">
        <v>157</v>
      </c>
    </row>
    <row r="27" spans="1:9" x14ac:dyDescent="0.3">
      <c r="A27" s="29" t="s">
        <v>96</v>
      </c>
      <c r="B27" s="29" t="s">
        <v>156</v>
      </c>
      <c r="C27" s="30">
        <f>'Ratio Comparison'!F42</f>
        <v>0.26442357312416143</v>
      </c>
      <c r="D27" s="30">
        <f>'Ratio Comparison'!E42</f>
        <v>0.24857986821177006</v>
      </c>
      <c r="E27" s="30">
        <f>C27-D27</f>
        <v>1.5843704912391371E-2</v>
      </c>
      <c r="F27" s="30">
        <v>0.03</v>
      </c>
      <c r="G27" s="29" t="s">
        <v>147</v>
      </c>
      <c r="H27" s="29" t="str">
        <f>IF(E27&lt;-F27,"RED FLAG",IF(E27&lt;0,"WATCH","CLEAR"))</f>
        <v>CLEAR</v>
      </c>
      <c r="I27" s="29" t="s">
        <v>157</v>
      </c>
    </row>
    <row r="28" spans="1:9" x14ac:dyDescent="0.3">
      <c r="A28" s="29" t="s">
        <v>97</v>
      </c>
      <c r="B28" s="29" t="s">
        <v>156</v>
      </c>
      <c r="C28" s="30">
        <f>'Ratio Comparison'!F43</f>
        <v>0.26543771810043998</v>
      </c>
      <c r="D28" s="30">
        <f>'Ratio Comparison'!E43</f>
        <v>0.26310177970966947</v>
      </c>
      <c r="E28" s="30">
        <f>C28-D28</f>
        <v>2.3359383907705089E-3</v>
      </c>
      <c r="F28" s="30">
        <v>0.03</v>
      </c>
      <c r="G28" s="29" t="s">
        <v>147</v>
      </c>
      <c r="H28" s="29" t="str">
        <f>IF(E28&lt;-F28,"RED FLAG",IF(E28&lt;0,"WATCH","CLEAR"))</f>
        <v>CLEAR</v>
      </c>
      <c r="I28" s="29" t="s">
        <v>157</v>
      </c>
    </row>
    <row r="29" spans="1:9" x14ac:dyDescent="0.3">
      <c r="A29" s="29" t="s">
        <v>95</v>
      </c>
      <c r="B29" s="29" t="s">
        <v>158</v>
      </c>
      <c r="C29" s="30">
        <f>'Ratio Comparison'!F47</f>
        <v>0.17061177638518335</v>
      </c>
      <c r="D29" s="30">
        <f>'Ratio Comparison'!E47</f>
        <v>0.19381033133315939</v>
      </c>
      <c r="E29" s="30">
        <f>C29</f>
        <v>0.17061177638518335</v>
      </c>
      <c r="F29" s="30">
        <v>0.1</v>
      </c>
      <c r="G29" s="29" t="s">
        <v>159</v>
      </c>
      <c r="H29" s="29" t="str">
        <f>IF(C29&lt;F29,"RED FLAG","CLEAR")</f>
        <v>CLEAR</v>
      </c>
      <c r="I29" s="29" t="s">
        <v>160</v>
      </c>
    </row>
    <row r="30" spans="1:9" x14ac:dyDescent="0.3">
      <c r="A30" s="29" t="s">
        <v>96</v>
      </c>
      <c r="B30" s="29" t="s">
        <v>158</v>
      </c>
      <c r="C30" s="30">
        <f>'Ratio Comparison'!F48</f>
        <v>0.13914943508846728</v>
      </c>
      <c r="D30" s="30">
        <f>'Ratio Comparison'!E48</f>
        <v>0.13878051499275443</v>
      </c>
      <c r="E30" s="30">
        <f>C30</f>
        <v>0.13914943508846728</v>
      </c>
      <c r="F30" s="30">
        <v>0.1</v>
      </c>
      <c r="G30" s="29" t="s">
        <v>159</v>
      </c>
      <c r="H30" s="29" t="str">
        <f>IF(C30&lt;F30,"RED FLAG","CLEAR")</f>
        <v>CLEAR</v>
      </c>
      <c r="I30" s="29" t="s">
        <v>160</v>
      </c>
    </row>
    <row r="31" spans="1:9" x14ac:dyDescent="0.3">
      <c r="A31" s="29" t="s">
        <v>97</v>
      </c>
      <c r="B31" s="29" t="s">
        <v>158</v>
      </c>
      <c r="C31" s="30">
        <f>'Ratio Comparison'!F49</f>
        <v>0.21800906931548261</v>
      </c>
      <c r="D31" s="30">
        <f>'Ratio Comparison'!E49</f>
        <v>0.14533214533214533</v>
      </c>
      <c r="E31" s="30">
        <f>C31</f>
        <v>0.21800906931548261</v>
      </c>
      <c r="F31" s="30">
        <v>0.1</v>
      </c>
      <c r="G31" s="29" t="s">
        <v>159</v>
      </c>
      <c r="H31" s="29" t="str">
        <f>IF(C31&lt;F31,"RED FLAG","CLEAR")</f>
        <v>CLEAR</v>
      </c>
      <c r="I31" s="29" t="s">
        <v>160</v>
      </c>
    </row>
    <row r="32" spans="1:9" x14ac:dyDescent="0.3">
      <c r="A32" s="29" t="s">
        <v>95</v>
      </c>
      <c r="B32" s="29" t="s">
        <v>158</v>
      </c>
      <c r="C32" s="30">
        <f>'Ratio Comparison'!F47</f>
        <v>0.17061177638518335</v>
      </c>
      <c r="D32" s="30">
        <f>'Ratio Comparison'!E47</f>
        <v>0.19381033133315939</v>
      </c>
      <c r="E32" s="30">
        <f>C32-D32</f>
        <v>-2.3198554947976041E-2</v>
      </c>
      <c r="F32" s="30">
        <v>0.03</v>
      </c>
      <c r="G32" s="29" t="s">
        <v>147</v>
      </c>
      <c r="H32" s="29" t="str">
        <f>IF(E32&lt;-F32,"RED FLAG",IF(E32&lt;0,"WATCH","CLEAR"))</f>
        <v>WATCH</v>
      </c>
      <c r="I32" s="29" t="s">
        <v>161</v>
      </c>
    </row>
    <row r="33" spans="1:9" x14ac:dyDescent="0.3">
      <c r="A33" s="29" t="s">
        <v>96</v>
      </c>
      <c r="B33" s="29" t="s">
        <v>158</v>
      </c>
      <c r="C33" s="30">
        <f>'Ratio Comparison'!F48</f>
        <v>0.13914943508846728</v>
      </c>
      <c r="D33" s="30">
        <f>'Ratio Comparison'!E48</f>
        <v>0.13878051499275443</v>
      </c>
      <c r="E33" s="30">
        <f>C33-D33</f>
        <v>3.6892009571284912E-4</v>
      </c>
      <c r="F33" s="30">
        <v>0.03</v>
      </c>
      <c r="G33" s="29" t="s">
        <v>147</v>
      </c>
      <c r="H33" s="29" t="str">
        <f>IF(E33&lt;-F33,"RED FLAG",IF(E33&lt;0,"WATCH","CLEAR"))</f>
        <v>CLEAR</v>
      </c>
      <c r="I33" s="29" t="s">
        <v>161</v>
      </c>
    </row>
    <row r="34" spans="1:9" x14ac:dyDescent="0.3">
      <c r="A34" s="29" t="s">
        <v>97</v>
      </c>
      <c r="B34" s="29" t="s">
        <v>158</v>
      </c>
      <c r="C34" s="30">
        <f>'Ratio Comparison'!F49</f>
        <v>0.21800906931548261</v>
      </c>
      <c r="D34" s="30">
        <f>'Ratio Comparison'!E49</f>
        <v>0.14533214533214533</v>
      </c>
      <c r="E34" s="30">
        <f>C34-D34</f>
        <v>7.2676923983337277E-2</v>
      </c>
      <c r="F34" s="30">
        <v>0.03</v>
      </c>
      <c r="G34" s="29" t="s">
        <v>147</v>
      </c>
      <c r="H34" s="29" t="str">
        <f>IF(E34&lt;-F34,"RED FLAG",IF(E34&lt;0,"WATCH","CLEAR"))</f>
        <v>CLEAR</v>
      </c>
      <c r="I34" s="29" t="s">
        <v>161</v>
      </c>
    </row>
    <row r="35" spans="1:9" x14ac:dyDescent="0.3">
      <c r="A35" s="29" t="s">
        <v>95</v>
      </c>
      <c r="B35" s="29" t="s">
        <v>162</v>
      </c>
      <c r="C35" s="31">
        <f>'Ratio Comparison'!F53</f>
        <v>2.3281913157035587E-2</v>
      </c>
      <c r="D35" s="31">
        <f>'Ratio Comparison'!E53</f>
        <v>2.5882400370900442E-2</v>
      </c>
      <c r="E35" s="31">
        <f>C35</f>
        <v>2.3281913157035587E-2</v>
      </c>
      <c r="F35" s="31">
        <v>0.5</v>
      </c>
      <c r="G35" s="29" t="s">
        <v>154</v>
      </c>
      <c r="H35" s="29" t="str">
        <f>IF(C35&gt;F35,"WATCH","CLEAR")</f>
        <v>CLEAR</v>
      </c>
      <c r="I35" s="29" t="s">
        <v>163</v>
      </c>
    </row>
    <row r="36" spans="1:9" x14ac:dyDescent="0.3">
      <c r="A36" s="29" t="s">
        <v>96</v>
      </c>
      <c r="B36" s="29" t="s">
        <v>162</v>
      </c>
      <c r="C36" s="31">
        <f>'Ratio Comparison'!F54</f>
        <v>0.26590953593107497</v>
      </c>
      <c r="D36" s="31">
        <f>'Ratio Comparison'!E54</f>
        <v>0.2812213039485767</v>
      </c>
      <c r="E36" s="31">
        <f>C36</f>
        <v>0.26590953593107497</v>
      </c>
      <c r="F36" s="31">
        <v>0.5</v>
      </c>
      <c r="G36" s="29" t="s">
        <v>154</v>
      </c>
      <c r="H36" s="29" t="str">
        <f>IF(C36&gt;F36,"WATCH","CLEAR")</f>
        <v>CLEAR</v>
      </c>
      <c r="I36" s="29" t="s">
        <v>163</v>
      </c>
    </row>
    <row r="37" spans="1:9" x14ac:dyDescent="0.3">
      <c r="A37" s="29" t="s">
        <v>97</v>
      </c>
      <c r="B37" s="29" t="s">
        <v>162</v>
      </c>
      <c r="C37" s="31">
        <f>'Ratio Comparison'!F55</f>
        <v>8.6096567771960439E-2</v>
      </c>
      <c r="D37" s="31">
        <f>'Ratio Comparison'!E55</f>
        <v>0.29102244389027432</v>
      </c>
      <c r="E37" s="31">
        <f>C37</f>
        <v>8.6096567771960439E-2</v>
      </c>
      <c r="F37" s="31">
        <v>0.5</v>
      </c>
      <c r="G37" s="29" t="s">
        <v>154</v>
      </c>
      <c r="H37" s="29" t="str">
        <f>IF(C37&gt;F37,"WATCH","CLEAR")</f>
        <v>CLEAR</v>
      </c>
      <c r="I37" s="29" t="s">
        <v>163</v>
      </c>
    </row>
    <row r="38" spans="1:9" x14ac:dyDescent="0.3">
      <c r="A38" s="29" t="s">
        <v>95</v>
      </c>
      <c r="B38" s="29" t="s">
        <v>164</v>
      </c>
      <c r="C38" s="31">
        <f>'Ratio Comparison'!F59</f>
        <v>0.80835590330023066</v>
      </c>
      <c r="D38" s="31">
        <f>'Ratio Comparison'!E59</f>
        <v>0.76775162744116177</v>
      </c>
      <c r="E38" s="30">
        <f>IF(D38=0,0,(C38/D38)-1)</f>
        <v>5.288725468990374E-2</v>
      </c>
      <c r="F38" s="31">
        <v>0.15</v>
      </c>
      <c r="G38" s="29" t="s">
        <v>147</v>
      </c>
      <c r="H38" s="29" t="str">
        <f>IF(E38&lt;-F38,"RED FLAG",IF(E38&lt;0,"WATCH","CLEAR"))</f>
        <v>CLEAR</v>
      </c>
      <c r="I38" s="29" t="s">
        <v>165</v>
      </c>
    </row>
    <row r="39" spans="1:9" x14ac:dyDescent="0.3">
      <c r="A39" s="29" t="s">
        <v>96</v>
      </c>
      <c r="B39" s="29" t="s">
        <v>164</v>
      </c>
      <c r="C39" s="31">
        <f>'Ratio Comparison'!F60</f>
        <v>1.9366291670967075</v>
      </c>
      <c r="D39" s="31">
        <f>'Ratio Comparison'!E60</f>
        <v>2.038400363553738</v>
      </c>
      <c r="E39" s="30">
        <f>IF(D39=0,0,(C39/D39)-1)</f>
        <v>-4.9926990927142034E-2</v>
      </c>
      <c r="F39" s="31">
        <v>0.15</v>
      </c>
      <c r="G39" s="29" t="s">
        <v>147</v>
      </c>
      <c r="H39" s="29" t="str">
        <f>IF(E39&lt;-F39,"RED FLAG",IF(E39&lt;0,"WATCH","CLEAR"))</f>
        <v>WATCH</v>
      </c>
      <c r="I39" s="29" t="s">
        <v>165</v>
      </c>
    </row>
    <row r="40" spans="1:9" x14ac:dyDescent="0.3">
      <c r="A40" s="29" t="s">
        <v>97</v>
      </c>
      <c r="B40" s="29" t="s">
        <v>164</v>
      </c>
      <c r="C40" s="31">
        <f>'Ratio Comparison'!F61</f>
        <v>1.7565619784554696</v>
      </c>
      <c r="D40" s="31">
        <f>'Ratio Comparison'!E61</f>
        <v>1.65685229229886</v>
      </c>
      <c r="E40" s="30">
        <f>IF(D40=0,0,(C40/D40)-1)</f>
        <v>6.0180190243913412E-2</v>
      </c>
      <c r="F40" s="31">
        <v>0.15</v>
      </c>
      <c r="G40" s="29" t="s">
        <v>147</v>
      </c>
      <c r="H40" s="29" t="str">
        <f>IF(E40&lt;-F40,"RED FLAG",IF(E40&lt;0,"WATCH","CLEAR"))</f>
        <v>CLEAR</v>
      </c>
      <c r="I40" s="29" t="s">
        <v>165</v>
      </c>
    </row>
    <row r="41" spans="1:9" x14ac:dyDescent="0.3">
      <c r="A41" s="29" t="s">
        <v>95</v>
      </c>
      <c r="B41" s="29" t="s">
        <v>166</v>
      </c>
      <c r="C41" s="31">
        <f>'Ratio Comparison'!F65</f>
        <v>40.970059880239518</v>
      </c>
      <c r="D41" s="31">
        <f>'Ratio Comparison'!E65</f>
        <v>40.540785498489427</v>
      </c>
      <c r="E41" s="31">
        <f>C41</f>
        <v>40.970059880239518</v>
      </c>
      <c r="F41" s="31">
        <v>5</v>
      </c>
      <c r="G41" s="29" t="s">
        <v>159</v>
      </c>
      <c r="H41" s="29" t="str">
        <f>IF(C41&lt;F41,"RED FLAG","CLEAR")</f>
        <v>CLEAR</v>
      </c>
      <c r="I41" s="29" t="s">
        <v>167</v>
      </c>
    </row>
    <row r="42" spans="1:9" x14ac:dyDescent="0.3">
      <c r="A42" s="29" t="s">
        <v>96</v>
      </c>
      <c r="B42" s="29" t="s">
        <v>166</v>
      </c>
      <c r="C42" s="31">
        <f>'Ratio Comparison'!F66</f>
        <v>30.288288288288289</v>
      </c>
      <c r="D42" s="31">
        <f>'Ratio Comparison'!E66</f>
        <v>22.471014492753625</v>
      </c>
      <c r="E42" s="31">
        <f>C42</f>
        <v>30.288288288288289</v>
      </c>
      <c r="F42" s="31">
        <v>5</v>
      </c>
      <c r="G42" s="29" t="s">
        <v>159</v>
      </c>
      <c r="H42" s="29" t="str">
        <f>IF(C42&lt;F42,"RED FLAG","CLEAR")</f>
        <v>CLEAR</v>
      </c>
      <c r="I42" s="29" t="s">
        <v>167</v>
      </c>
    </row>
    <row r="43" spans="1:9" x14ac:dyDescent="0.3">
      <c r="A43" s="29" t="s">
        <v>97</v>
      </c>
      <c r="B43" s="29" t="s">
        <v>166</v>
      </c>
      <c r="C43" s="31">
        <f>'Ratio Comparison'!F67</f>
        <v>28.873417721518987</v>
      </c>
      <c r="D43" s="31">
        <f>'Ratio Comparison'!E67</f>
        <v>30.933823529411764</v>
      </c>
      <c r="E43" s="31">
        <f>C43</f>
        <v>28.873417721518987</v>
      </c>
      <c r="F43" s="31">
        <v>5</v>
      </c>
      <c r="G43" s="29" t="s">
        <v>159</v>
      </c>
      <c r="H43" s="29" t="str">
        <f>IF(C43&lt;F43,"RED FLAG","CLEAR")</f>
        <v>CLEAR</v>
      </c>
      <c r="I43" s="29" t="s">
        <v>167</v>
      </c>
    </row>
    <row r="46" spans="1:9" x14ac:dyDescent="0.3">
      <c r="A46" s="45" t="s">
        <v>168</v>
      </c>
      <c r="B46" s="37"/>
      <c r="C46" s="37"/>
      <c r="D46" s="37"/>
      <c r="E46" s="37"/>
      <c r="F46" s="37"/>
      <c r="G46" s="37"/>
      <c r="H46" s="37"/>
      <c r="I46" s="37"/>
    </row>
    <row r="47" spans="1:9" x14ac:dyDescent="0.3">
      <c r="A47" s="28" t="s">
        <v>94</v>
      </c>
      <c r="B47" s="28" t="s">
        <v>135</v>
      </c>
      <c r="C47" s="28" t="s">
        <v>169</v>
      </c>
      <c r="D47" s="28" t="s">
        <v>4</v>
      </c>
      <c r="E47" s="28" t="s">
        <v>5</v>
      </c>
      <c r="F47" s="28" t="s">
        <v>6</v>
      </c>
      <c r="G47" s="28" t="s">
        <v>7</v>
      </c>
      <c r="H47" s="28" t="s">
        <v>8</v>
      </c>
      <c r="I47" s="28" t="s">
        <v>170</v>
      </c>
    </row>
    <row r="48" spans="1:9" x14ac:dyDescent="0.3">
      <c r="A48" t="s">
        <v>95</v>
      </c>
      <c r="B48" t="s">
        <v>162</v>
      </c>
      <c r="C48" t="s">
        <v>171</v>
      </c>
      <c r="D48">
        <f>'Ratio Comparison'!B53</f>
        <v>1.5706806282722512E-2</v>
      </c>
      <c r="E48">
        <f>'Ratio Comparison'!C53</f>
        <v>1.6784767032183998E-2</v>
      </c>
      <c r="F48">
        <f>'Ratio Comparison'!D53</f>
        <v>2.2246854520350814E-2</v>
      </c>
      <c r="G48">
        <f>'Ratio Comparison'!E53</f>
        <v>2.5882400370900442E-2</v>
      </c>
      <c r="H48">
        <f>'Ratio Comparison'!F53</f>
        <v>2.3281913157035587E-2</v>
      </c>
      <c r="I48" t="str">
        <f>IF(MAX(D48:H48)&gt;F48,"RED FLAG","CLEAR")</f>
        <v>RED FLAG</v>
      </c>
    </row>
    <row r="49" spans="1:9" x14ac:dyDescent="0.3">
      <c r="A49" t="s">
        <v>96</v>
      </c>
      <c r="B49" t="s">
        <v>162</v>
      </c>
      <c r="C49" t="s">
        <v>171</v>
      </c>
      <c r="D49">
        <f>'Ratio Comparison'!B54</f>
        <v>0.96403440187646594</v>
      </c>
      <c r="E49">
        <f>'Ratio Comparison'!C54</f>
        <v>0.84352009054895305</v>
      </c>
      <c r="F49">
        <f>'Ratio Comparison'!D54</f>
        <v>0.51775748351090822</v>
      </c>
      <c r="G49">
        <f>'Ratio Comparison'!E54</f>
        <v>0.2812213039485767</v>
      </c>
      <c r="H49">
        <f>'Ratio Comparison'!F54</f>
        <v>0.26590953593107497</v>
      </c>
      <c r="I49" t="str">
        <f>IF(MAX(D49:H49)&gt;F49,"RED FLAG","CLEAR")</f>
        <v>RED FLAG</v>
      </c>
    </row>
    <row r="50" spans="1:9" x14ac:dyDescent="0.3">
      <c r="A50" t="s">
        <v>97</v>
      </c>
      <c r="B50" t="s">
        <v>162</v>
      </c>
      <c r="C50" t="s">
        <v>171</v>
      </c>
      <c r="D50">
        <f>'Ratio Comparison'!B55</f>
        <v>0.1366906474820144</v>
      </c>
      <c r="E50">
        <f>'Ratio Comparison'!C55</f>
        <v>0.11020740138267589</v>
      </c>
      <c r="F50">
        <f>'Ratio Comparison'!D55</f>
        <v>0.1032624962586052</v>
      </c>
      <c r="G50">
        <f>'Ratio Comparison'!E55</f>
        <v>0.29102244389027432</v>
      </c>
      <c r="H50">
        <f>'Ratio Comparison'!F55</f>
        <v>8.6096567771960439E-2</v>
      </c>
      <c r="I50" t="str">
        <f>IF(MAX(D50:H50)&gt;F50,"RED FLAG","CLEAR")</f>
        <v>RED FLAG</v>
      </c>
    </row>
    <row r="51" spans="1:9" x14ac:dyDescent="0.3">
      <c r="A51" t="s">
        <v>95</v>
      </c>
      <c r="B51" t="s">
        <v>143</v>
      </c>
      <c r="C51" t="s">
        <v>172</v>
      </c>
      <c r="D51" t="str">
        <f>'Ratio Comparison'!B11</f>
        <v>n/a</v>
      </c>
      <c r="E51">
        <f>'Ratio Comparison'!C11</f>
        <v>0.15509285741524614</v>
      </c>
      <c r="F51">
        <f>'Ratio Comparison'!D11</f>
        <v>2.1723341036645749E-2</v>
      </c>
      <c r="G51">
        <f>'Ratio Comparison'!E11</f>
        <v>-9.1766834690448773E-3</v>
      </c>
      <c r="H51">
        <f>'Ratio Comparison'!F11</f>
        <v>5.1200104356900589E-2</v>
      </c>
      <c r="I51" t="str">
        <f>IF(MIN(D51:H51)&lt;F51,"WATCH","CLEAR")</f>
        <v>WATCH</v>
      </c>
    </row>
    <row r="52" spans="1:9" x14ac:dyDescent="0.3">
      <c r="A52" t="s">
        <v>96</v>
      </c>
      <c r="B52" t="s">
        <v>143</v>
      </c>
      <c r="C52" t="s">
        <v>172</v>
      </c>
      <c r="D52" t="str">
        <f>'Ratio Comparison'!B12</f>
        <v>n/a</v>
      </c>
      <c r="E52">
        <f>'Ratio Comparison'!C12</f>
        <v>0.15308432371250702</v>
      </c>
      <c r="F52">
        <f>'Ratio Comparison'!D12</f>
        <v>2.8773006134969359E-2</v>
      </c>
      <c r="G52">
        <f>'Ratio Comparison'!E12</f>
        <v>6.9950503906017092E-2</v>
      </c>
      <c r="H52">
        <f>'Ratio Comparison'!F12</f>
        <v>4.581429049158392E-2</v>
      </c>
      <c r="I52" t="str">
        <f>IF(MIN(D52:H52)&lt;F52,"WATCH","CLEAR")</f>
        <v>CLEAR</v>
      </c>
    </row>
    <row r="53" spans="1:9" x14ac:dyDescent="0.3">
      <c r="A53" t="s">
        <v>97</v>
      </c>
      <c r="B53" t="s">
        <v>143</v>
      </c>
      <c r="C53" t="s">
        <v>172</v>
      </c>
      <c r="D53" t="str">
        <f>'Ratio Comparison'!B13</f>
        <v>n/a</v>
      </c>
      <c r="E53">
        <f>'Ratio Comparison'!C13</f>
        <v>0.14625873414286694</v>
      </c>
      <c r="F53">
        <f>'Ratio Comparison'!D13</f>
        <v>0.4436882286796473</v>
      </c>
      <c r="G53">
        <f>'Ratio Comparison'!E13</f>
        <v>-0.17184553578748873</v>
      </c>
      <c r="H53">
        <f>'Ratio Comparison'!F13</f>
        <v>0.14617364617364625</v>
      </c>
      <c r="I53" t="str">
        <f>IF(MIN(D53:H53)&lt;F53,"WATCH","CLEAR")</f>
        <v>WATCH</v>
      </c>
    </row>
    <row r="54" spans="1:9" x14ac:dyDescent="0.3">
      <c r="A54" t="s">
        <v>95</v>
      </c>
      <c r="B54" t="s">
        <v>158</v>
      </c>
      <c r="C54" t="s">
        <v>173</v>
      </c>
      <c r="D54">
        <f>'Ratio Comparison'!B47</f>
        <v>0.1725203066010754</v>
      </c>
      <c r="E54">
        <f>'Ratio Comparison'!C47</f>
        <v>0.16492241663915483</v>
      </c>
      <c r="F54">
        <f>'Ratio Comparison'!D47</f>
        <v>0.2499192193356598</v>
      </c>
      <c r="G54">
        <f>'Ratio Comparison'!E47</f>
        <v>0.19381033133315939</v>
      </c>
      <c r="H54">
        <f>'Ratio Comparison'!F47</f>
        <v>0.17061177638518335</v>
      </c>
      <c r="I54" t="str">
        <f t="shared" ref="I54:I59" si="2">IF(MIN(D54:H54)&lt;F54,"RED FLAG","CLEAR")</f>
        <v>RED FLAG</v>
      </c>
    </row>
    <row r="55" spans="1:9" x14ac:dyDescent="0.3">
      <c r="A55" t="s">
        <v>96</v>
      </c>
      <c r="B55" t="s">
        <v>158</v>
      </c>
      <c r="C55" t="s">
        <v>173</v>
      </c>
      <c r="D55">
        <f>'Ratio Comparison'!B48</f>
        <v>9.1893039049236E-2</v>
      </c>
      <c r="E55">
        <f>'Ratio Comparison'!C48</f>
        <v>0.15496932515337422</v>
      </c>
      <c r="F55">
        <f>'Ratio Comparison'!D48</f>
        <v>0.15337825749895639</v>
      </c>
      <c r="G55">
        <f>'Ratio Comparison'!E48</f>
        <v>0.13878051499275443</v>
      </c>
      <c r="H55">
        <f>'Ratio Comparison'!F48</f>
        <v>0.13914943508846728</v>
      </c>
      <c r="I55" t="str">
        <f t="shared" si="2"/>
        <v>RED FLAG</v>
      </c>
    </row>
    <row r="56" spans="1:9" x14ac:dyDescent="0.3">
      <c r="A56" t="s">
        <v>97</v>
      </c>
      <c r="B56" t="s">
        <v>158</v>
      </c>
      <c r="C56" t="s">
        <v>173</v>
      </c>
      <c r="D56">
        <f>'Ratio Comparison'!B49</f>
        <v>0.15168577437080252</v>
      </c>
      <c r="E56">
        <f>'Ratio Comparison'!C49</f>
        <v>0.16198141681955378</v>
      </c>
      <c r="F56">
        <f>'Ratio Comparison'!D49</f>
        <v>0.17114864310896122</v>
      </c>
      <c r="G56">
        <f>'Ratio Comparison'!E49</f>
        <v>0.14533214533214533</v>
      </c>
      <c r="H56">
        <f>'Ratio Comparison'!F49</f>
        <v>0.21800906931548261</v>
      </c>
      <c r="I56" t="str">
        <f t="shared" si="2"/>
        <v>RED FLAG</v>
      </c>
    </row>
    <row r="57" spans="1:9" x14ac:dyDescent="0.3">
      <c r="A57" t="s">
        <v>95</v>
      </c>
      <c r="B57" t="s">
        <v>166</v>
      </c>
      <c r="C57" t="s">
        <v>174</v>
      </c>
      <c r="D57">
        <f>'Ratio Comparison'!B65</f>
        <v>143.2560975609756</v>
      </c>
      <c r="E57">
        <f>'Ratio Comparison'!C65</f>
        <v>147.57954545454547</v>
      </c>
      <c r="F57">
        <f>'Ratio Comparison'!D65</f>
        <v>47.736654804270465</v>
      </c>
      <c r="G57">
        <f>'Ratio Comparison'!E65</f>
        <v>40.540785498489427</v>
      </c>
      <c r="H57">
        <f>'Ratio Comparison'!F65</f>
        <v>40.970059880239518</v>
      </c>
      <c r="I57" t="str">
        <f t="shared" si="2"/>
        <v>RED FLAG</v>
      </c>
    </row>
    <row r="58" spans="1:9" x14ac:dyDescent="0.3">
      <c r="A58" t="s">
        <v>96</v>
      </c>
      <c r="B58" t="s">
        <v>166</v>
      </c>
      <c r="C58" t="s">
        <v>174</v>
      </c>
      <c r="D58">
        <f>'Ratio Comparison'!B66</f>
        <v>15.4375</v>
      </c>
      <c r="E58">
        <f>'Ratio Comparison'!C66</f>
        <v>16.68639053254438</v>
      </c>
      <c r="F58">
        <f>'Ratio Comparison'!D66</f>
        <v>18.798780487804876</v>
      </c>
      <c r="G58">
        <f>'Ratio Comparison'!E66</f>
        <v>22.471014492753625</v>
      </c>
      <c r="H58">
        <f>'Ratio Comparison'!F66</f>
        <v>30.288288288288289</v>
      </c>
      <c r="I58" t="str">
        <f t="shared" si="2"/>
        <v>RED FLAG</v>
      </c>
    </row>
    <row r="59" spans="1:9" x14ac:dyDescent="0.3">
      <c r="A59" t="s">
        <v>97</v>
      </c>
      <c r="B59" t="s">
        <v>166</v>
      </c>
      <c r="C59" t="s">
        <v>174</v>
      </c>
      <c r="D59">
        <f>'Ratio Comparison'!B67</f>
        <v>15.698019801980198</v>
      </c>
      <c r="E59">
        <f>'Ratio Comparison'!C67</f>
        <v>21.309677419354838</v>
      </c>
      <c r="F59">
        <f>'Ratio Comparison'!D67</f>
        <v>36.586206896551722</v>
      </c>
      <c r="G59">
        <f>'Ratio Comparison'!E67</f>
        <v>30.933823529411764</v>
      </c>
      <c r="H59">
        <f>'Ratio Comparison'!F67</f>
        <v>28.873417721518987</v>
      </c>
      <c r="I59" t="str">
        <f t="shared" si="2"/>
        <v>RED FLAG</v>
      </c>
    </row>
    <row r="62" spans="1:9" ht="34.950000000000003" customHeight="1" x14ac:dyDescent="0.3">
      <c r="A62" s="32" t="s">
        <v>175</v>
      </c>
      <c r="B62" s="47" t="s">
        <v>176</v>
      </c>
      <c r="C62" s="37"/>
      <c r="D62" s="37"/>
      <c r="E62" s="37"/>
      <c r="F62" s="37"/>
      <c r="G62" s="37"/>
      <c r="H62" s="37"/>
      <c r="I62" s="37"/>
    </row>
  </sheetData>
  <autoFilter ref="A10:I43" xr:uid="{00000000-0009-0000-0000-000008000000}"/>
  <mergeCells count="5">
    <mergeCell ref="A1:I1"/>
    <mergeCell ref="A46:I46"/>
    <mergeCell ref="A4:I4"/>
    <mergeCell ref="A2:I2"/>
    <mergeCell ref="B62:I62"/>
  </mergeCells>
  <conditionalFormatting sqref="E6:E8">
    <cfRule type="cellIs" dxfId="7" priority="6" operator="equal">
      <formula>"INVESTIGATE"</formula>
    </cfRule>
    <cfRule type="cellIs" dxfId="6" priority="7" operator="equal">
      <formula>"MONITOR"</formula>
    </cfRule>
    <cfRule type="cellIs" dxfId="5" priority="8" operator="equal">
      <formula>"NO FLAG"</formula>
    </cfRule>
  </conditionalFormatting>
  <conditionalFormatting sqref="H11:H43">
    <cfRule type="cellIs" dxfId="4" priority="1" operator="equal">
      <formula>"RED FLAG"</formula>
    </cfRule>
    <cfRule type="cellIs" dxfId="3" priority="2" operator="equal">
      <formula>"WATCH"</formula>
    </cfRule>
    <cfRule type="cellIs" dxfId="2" priority="3" operator="equal">
      <formula>"CLEAR"</formula>
    </cfRule>
  </conditionalFormatting>
  <conditionalFormatting sqref="I48:I59">
    <cfRule type="cellIs" dxfId="1" priority="4" operator="equal">
      <formula>"RED FLAG"</formula>
    </cfRule>
    <cfRule type="cellIs" dxfId="0" priority="5" operator="equal">
      <formula>"WATCH"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Income Statement</vt:lpstr>
      <vt:lpstr>Balance Sheet</vt:lpstr>
      <vt:lpstr>Cash Flow</vt:lpstr>
      <vt:lpstr>Ratio Comparison</vt:lpstr>
      <vt:lpstr>Pivot Tables</vt:lpstr>
      <vt:lpstr>Charts</vt:lpstr>
      <vt:lpstr>Pivot</vt:lpstr>
      <vt:lpstr>Dashboard</vt:lpstr>
      <vt:lpstr>Red Flags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Sujal Bansal</cp:lastModifiedBy>
  <cp:revision>1</cp:revision>
  <dcterms:created xsi:type="dcterms:W3CDTF">2026-09-10T10:09:59Z</dcterms:created>
  <dcterms:modified xsi:type="dcterms:W3CDTF">2026-09-27T10:46:04Z</dcterms:modified>
  <dc:language>en-US</dc:language>
</cp:coreProperties>
</file>